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L\paperlesspaper-hardware\paper7\pcb\"/>
    </mc:Choice>
  </mc:AlternateContent>
  <xr:revisionPtr revIDLastSave="0" documentId="13_ncr:1_{0534559B-6A5E-4200-8862-BD33A57A2A1A}" xr6:coauthVersionLast="47" xr6:coauthVersionMax="47" xr10:uidLastSave="{00000000-0000-0000-0000-000000000000}"/>
  <bookViews>
    <workbookView xWindow="4180" yWindow="4180" windowWidth="28800" windowHeight="15410" xr2:uid="{AD99F109-CD7F-4E9A-A539-A5DC8B0C5D66}"/>
  </bookViews>
  <sheets>
    <sheet name="PnP_EPAPER73_V1 v111_front (2)" sheetId="2" r:id="rId1"/>
  </sheets>
  <definedNames>
    <definedName name="ExterneDaten_1" localSheetId="0" hidden="1">'PnP_EPAPER73_V1 v111_front (2)'!$A$1:$F$121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2" l="1"/>
  <c r="H53" i="2"/>
  <c r="G53" i="2"/>
  <c r="G37" i="2"/>
  <c r="H37" i="2"/>
  <c r="I37" i="2"/>
  <c r="G38" i="2"/>
  <c r="H38" i="2"/>
  <c r="I38" i="2"/>
  <c r="G39" i="2"/>
  <c r="H39" i="2"/>
  <c r="I39" i="2"/>
  <c r="G120" i="2"/>
  <c r="I90" i="2"/>
  <c r="H90" i="2"/>
  <c r="G90" i="2"/>
  <c r="I67" i="2"/>
  <c r="H67" i="2"/>
  <c r="G67" i="2"/>
  <c r="I64" i="2"/>
  <c r="I58" i="2"/>
  <c r="I59" i="2"/>
  <c r="I60" i="2"/>
  <c r="I61" i="2"/>
  <c r="I57" i="2"/>
  <c r="I62" i="2"/>
  <c r="I63" i="2"/>
  <c r="I65" i="2"/>
  <c r="I66" i="2"/>
  <c r="I68" i="2"/>
  <c r="I69" i="2"/>
  <c r="I70" i="2"/>
  <c r="I71" i="2"/>
  <c r="I72" i="2"/>
  <c r="I73" i="2"/>
  <c r="I74" i="2"/>
  <c r="I78" i="2"/>
  <c r="I79" i="2"/>
  <c r="I80" i="2"/>
  <c r="I81" i="2"/>
  <c r="I82" i="2"/>
  <c r="I83" i="2"/>
  <c r="I84" i="2"/>
  <c r="I85" i="2"/>
  <c r="I86" i="2"/>
  <c r="I87" i="2"/>
  <c r="I88" i="2"/>
  <c r="I89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54" i="2"/>
  <c r="I52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H120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70" i="2"/>
  <c r="H70" i="2"/>
  <c r="G51" i="2"/>
  <c r="H51" i="2"/>
  <c r="I51" i="2"/>
  <c r="G52" i="2"/>
  <c r="H52" i="2"/>
  <c r="G54" i="2"/>
  <c r="H54" i="2"/>
  <c r="G55" i="2"/>
  <c r="H55" i="2"/>
  <c r="I55" i="2"/>
  <c r="G56" i="2"/>
  <c r="H56" i="2"/>
  <c r="I56" i="2"/>
  <c r="G58" i="2"/>
  <c r="H58" i="2"/>
  <c r="G59" i="2"/>
  <c r="H59" i="2"/>
  <c r="G60" i="2"/>
  <c r="H60" i="2"/>
  <c r="G61" i="2"/>
  <c r="H61" i="2"/>
  <c r="G57" i="2"/>
  <c r="H57" i="2"/>
  <c r="G62" i="2"/>
  <c r="H62" i="2"/>
  <c r="G63" i="2"/>
  <c r="H63" i="2"/>
  <c r="G64" i="2"/>
  <c r="H64" i="2"/>
  <c r="G65" i="2"/>
  <c r="H65" i="2"/>
  <c r="G66" i="2"/>
  <c r="H66" i="2"/>
  <c r="G68" i="2"/>
  <c r="H68" i="2"/>
  <c r="G69" i="2"/>
  <c r="H69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I2" i="2"/>
  <c r="H2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F1AF1C-5A0C-4FC5-88EB-442CAED1D2FE}" keepAlive="1" name="Abfrage - PnP_EPAPER73_V1 v111_front" description="Verbindung mit der Abfrage 'PnP_EPAPER73_V1 v111_front' in der Arbeitsmappe." type="5" refreshedVersion="8" background="1" saveData="1">
    <dbPr connection="Provider=Microsoft.Mashup.OleDb.1;Data Source=$Workbook$;Location=&quot;PnP_EPAPER73_V1 v111_front&quot;;Extended Properties=&quot;&quot;" command="SELECT * FROM [PnP_EPAPER73_V1 v111_front]"/>
  </connection>
  <connection id="2" xr16:uid="{C38F0088-4674-456A-B370-6C9819A51351}" keepAlive="1" name="Abfrage - PnP_EPAPER73_V1 v115_front" description="Verbindung mit der Abfrage 'PnP_EPAPER73_V1 v115_front' in der Arbeitsmappe." type="5" refreshedVersion="0" background="1">
    <dbPr connection="Provider=Microsoft.Mashup.OleDb.1;Data Source=$Workbook$;Location=&quot;PnP_EPAPER73_V1 v115_front&quot;;Extended Properties=&quot;&quot;" command="SELECT * FROM [PnP_EPAPER73_V1 v115_front]"/>
  </connection>
  <connection id="3" xr16:uid="{62E7D453-D110-4FF0-94B7-F1B54A940894}" keepAlive="1" name="Abfrage - PnP_EPAPER73_V1 v133_front" description="Verbindung mit der Abfrage 'PnP_EPAPER73_V1 v133_front' in der Arbeitsmappe." type="5" refreshedVersion="0" background="1">
    <dbPr connection="Provider=Microsoft.Mashup.OleDb.1;Data Source=$Workbook$;Location=&quot;PnP_EPAPER73_V1 v133_front&quot;;Extended Properties=&quot;&quot;" command="SELECT * FROM [PnP_EPAPER73_V1 v133_front]"/>
  </connection>
</connections>
</file>

<file path=xl/sharedStrings.xml><?xml version="1.0" encoding="utf-8"?>
<sst xmlns="http://schemas.openxmlformats.org/spreadsheetml/2006/main" count="486" uniqueCount="214">
  <si>
    <t>Column2</t>
  </si>
  <si>
    <t>Column3</t>
  </si>
  <si>
    <t>Column4</t>
  </si>
  <si>
    <t>Column5</t>
  </si>
  <si>
    <t>Column6</t>
  </si>
  <si>
    <t>C1</t>
  </si>
  <si>
    <t>10uF 25V 0805</t>
  </si>
  <si>
    <t>CAPC2012X110</t>
  </si>
  <si>
    <t>C10</t>
  </si>
  <si>
    <t>470nF 25V 0805</t>
  </si>
  <si>
    <t>C11</t>
  </si>
  <si>
    <t>C12</t>
  </si>
  <si>
    <t>C13</t>
  </si>
  <si>
    <t>C14</t>
  </si>
  <si>
    <t>C15</t>
  </si>
  <si>
    <t>C16</t>
  </si>
  <si>
    <t>C17</t>
  </si>
  <si>
    <t>1uF 50V 0805</t>
  </si>
  <si>
    <t>C18</t>
  </si>
  <si>
    <t>C19</t>
  </si>
  <si>
    <t>2.2uF 25V 0805</t>
  </si>
  <si>
    <t>C2</t>
  </si>
  <si>
    <t>1uF 25V 0805</t>
  </si>
  <si>
    <t>C20</t>
  </si>
  <si>
    <t>C21</t>
  </si>
  <si>
    <t>C22</t>
  </si>
  <si>
    <t>C23</t>
  </si>
  <si>
    <t>C24</t>
  </si>
  <si>
    <t>470nF 50V 0805</t>
  </si>
  <si>
    <t>C25</t>
  </si>
  <si>
    <t>100nF 50V 0805</t>
  </si>
  <si>
    <t>C26</t>
  </si>
  <si>
    <t>10uF 50V 0805</t>
  </si>
  <si>
    <t>C27</t>
  </si>
  <si>
    <t>C28</t>
  </si>
  <si>
    <t>4.7uF 25V 0805</t>
  </si>
  <si>
    <t>C29</t>
  </si>
  <si>
    <t>C3</t>
  </si>
  <si>
    <t>C30</t>
  </si>
  <si>
    <t>C31</t>
  </si>
  <si>
    <t>C32</t>
  </si>
  <si>
    <t>C33</t>
  </si>
  <si>
    <t>C34</t>
  </si>
  <si>
    <t>C35</t>
  </si>
  <si>
    <t>100nF 25V 0402</t>
  </si>
  <si>
    <t>CAPC1005X60</t>
  </si>
  <si>
    <t>C36</t>
  </si>
  <si>
    <t>C37</t>
  </si>
  <si>
    <t>C38</t>
  </si>
  <si>
    <t>C39</t>
  </si>
  <si>
    <t>C4</t>
  </si>
  <si>
    <t>C40</t>
  </si>
  <si>
    <t>C44</t>
  </si>
  <si>
    <t>C45</t>
  </si>
  <si>
    <t>1nF 25V 0402</t>
  </si>
  <si>
    <t>C46</t>
  </si>
  <si>
    <t>C47</t>
  </si>
  <si>
    <t>C48</t>
  </si>
  <si>
    <t>C49</t>
  </si>
  <si>
    <t>C5</t>
  </si>
  <si>
    <t>C50</t>
  </si>
  <si>
    <t>C6</t>
  </si>
  <si>
    <t>C7</t>
  </si>
  <si>
    <t>C8</t>
  </si>
  <si>
    <t>C9</t>
  </si>
  <si>
    <t>D1</t>
  </si>
  <si>
    <t>LESD5D5.0CT1G</t>
  </si>
  <si>
    <t>LESD5D50CT1G</t>
  </si>
  <si>
    <t>D10</t>
  </si>
  <si>
    <t>PMEG2010AEH</t>
  </si>
  <si>
    <t>SODFL3516X120N</t>
  </si>
  <si>
    <t>MBR0530T1G</t>
  </si>
  <si>
    <t>D2</t>
  </si>
  <si>
    <t>D3</t>
  </si>
  <si>
    <t>D5</t>
  </si>
  <si>
    <t>SOD3716X135N</t>
  </si>
  <si>
    <t>D6</t>
  </si>
  <si>
    <t>D7</t>
  </si>
  <si>
    <t>D8</t>
  </si>
  <si>
    <t>H1</t>
  </si>
  <si>
    <t>BH-AAA-B5AA001</t>
  </si>
  <si>
    <t>1078</t>
  </si>
  <si>
    <t>H2</t>
  </si>
  <si>
    <t>IC1</t>
  </si>
  <si>
    <t>W25Q128JVSIQ</t>
  </si>
  <si>
    <t>SOIC127P790X216-8N</t>
  </si>
  <si>
    <t>IC2</t>
  </si>
  <si>
    <t>CP2102N-A02-GQFN28R</t>
  </si>
  <si>
    <t>QFN50P500X500X80-29N</t>
  </si>
  <si>
    <t>SOT95P237X112-3N</t>
  </si>
  <si>
    <t>IC4</t>
  </si>
  <si>
    <t>BQ25172DSGR</t>
  </si>
  <si>
    <t>SON50P200X200X80-9N</t>
  </si>
  <si>
    <t>IC6</t>
  </si>
  <si>
    <t>TPS61085DGKR</t>
  </si>
  <si>
    <t>SOP65P490X110-8N</t>
  </si>
  <si>
    <t>J1</t>
  </si>
  <si>
    <t>U263-241N-4BQC02</t>
  </si>
  <si>
    <t>U263241N4BQC02</t>
  </si>
  <si>
    <t>L3</t>
  </si>
  <si>
    <t>2.2uH/1A (20%) LQM2HPN2R2MG0L</t>
  </si>
  <si>
    <t>INDC2520X120N</t>
  </si>
  <si>
    <t>LED1</t>
  </si>
  <si>
    <t>KPTD-3216SGC</t>
  </si>
  <si>
    <t>KPTD3216SGC</t>
  </si>
  <si>
    <t>Q1</t>
  </si>
  <si>
    <t>SI2301CDS-T1-E3</t>
  </si>
  <si>
    <t>Q2</t>
  </si>
  <si>
    <t>SI1308EDL-T1-GE3</t>
  </si>
  <si>
    <t>SOT65P210X110-3N</t>
  </si>
  <si>
    <t>Q6</t>
  </si>
  <si>
    <t>RESC1005X40</t>
  </si>
  <si>
    <t>R10</t>
  </si>
  <si>
    <t>10KΩ 0402</t>
  </si>
  <si>
    <t>R11</t>
  </si>
  <si>
    <t>R12</t>
  </si>
  <si>
    <t>R13</t>
  </si>
  <si>
    <t>R14</t>
  </si>
  <si>
    <t>R15</t>
  </si>
  <si>
    <t>R16</t>
  </si>
  <si>
    <t>220mΩ 0805</t>
  </si>
  <si>
    <t>RESC2012X65</t>
  </si>
  <si>
    <t>R17</t>
  </si>
  <si>
    <t>1MΩ 0402</t>
  </si>
  <si>
    <t>R18</t>
  </si>
  <si>
    <t>R19</t>
  </si>
  <si>
    <t>R2</t>
  </si>
  <si>
    <t>1KΩ 0402</t>
  </si>
  <si>
    <t>R21</t>
  </si>
  <si>
    <t>270kΩ 0402</t>
  </si>
  <si>
    <t>R22</t>
  </si>
  <si>
    <t>100KΩ 0402</t>
  </si>
  <si>
    <t>R24</t>
  </si>
  <si>
    <t>R25</t>
  </si>
  <si>
    <t>11KΩ 0402</t>
  </si>
  <si>
    <t>R26</t>
  </si>
  <si>
    <t>36KΩ 0402</t>
  </si>
  <si>
    <t>R28</t>
  </si>
  <si>
    <t>R29</t>
  </si>
  <si>
    <t>R3</t>
  </si>
  <si>
    <t>47KΩ 0402</t>
  </si>
  <si>
    <t>R30</t>
  </si>
  <si>
    <t>R31</t>
  </si>
  <si>
    <t>R34</t>
  </si>
  <si>
    <t>R35</t>
  </si>
  <si>
    <t>R39</t>
  </si>
  <si>
    <t>R4</t>
  </si>
  <si>
    <t>22KΩ 0402</t>
  </si>
  <si>
    <t>R40</t>
  </si>
  <si>
    <t>R41</t>
  </si>
  <si>
    <t>R42</t>
  </si>
  <si>
    <t>18KΩ 0402</t>
  </si>
  <si>
    <t>R43</t>
  </si>
  <si>
    <t>R5</t>
  </si>
  <si>
    <t>820KΩ 0402</t>
  </si>
  <si>
    <t>R6</t>
  </si>
  <si>
    <t>R7</t>
  </si>
  <si>
    <t>30KΩ 0402</t>
  </si>
  <si>
    <t>R8</t>
  </si>
  <si>
    <t>R9</t>
  </si>
  <si>
    <t>S1</t>
  </si>
  <si>
    <t>TS-1088-AR02016</t>
  </si>
  <si>
    <t>TS1088AR02016</t>
  </si>
  <si>
    <t>S3</t>
  </si>
  <si>
    <t>TS-1103S-C-U</t>
  </si>
  <si>
    <t>TS1103SCU</t>
  </si>
  <si>
    <t>U1</t>
  </si>
  <si>
    <t>ESP32-C6-MINI-1-N4</t>
  </si>
  <si>
    <t>XCVR_ESP32-C6-MINI-1-N4</t>
  </si>
  <si>
    <t>U2</t>
  </si>
  <si>
    <t>FUSB303TMX</t>
  </si>
  <si>
    <t>X2QFN12</t>
  </si>
  <si>
    <t>U3</t>
  </si>
  <si>
    <t>TPS62840DLCR</t>
  </si>
  <si>
    <t>SON50P200X150X100-8N</t>
  </si>
  <si>
    <t>U4</t>
  </si>
  <si>
    <t>KXTJ3-1057</t>
  </si>
  <si>
    <t>KIONIX_KXTJ3-1057</t>
  </si>
  <si>
    <t>Z1</t>
  </si>
  <si>
    <t>BZT52C27</t>
  </si>
  <si>
    <t>SOD3716X125N</t>
  </si>
  <si>
    <t>Mid X</t>
  </si>
  <si>
    <t>Mid Y</t>
  </si>
  <si>
    <t>Rotation</t>
  </si>
  <si>
    <t>Layer</t>
  </si>
  <si>
    <t>Top</t>
  </si>
  <si>
    <t>Designator</t>
  </si>
  <si>
    <t>680Ω 0603</t>
  </si>
  <si>
    <t>RESC1608X60</t>
  </si>
  <si>
    <t>51Ω 0603</t>
  </si>
  <si>
    <t>75kΩ 0603</t>
  </si>
  <si>
    <t>D12</t>
  </si>
  <si>
    <t>SS34</t>
  </si>
  <si>
    <t>DIOM5327X244N</t>
  </si>
  <si>
    <t>IC5</t>
  </si>
  <si>
    <t>DMP2035U</t>
  </si>
  <si>
    <t>SOT96P240X115-3N</t>
  </si>
  <si>
    <t>R20</t>
  </si>
  <si>
    <t>D13</t>
  </si>
  <si>
    <t>D4</t>
  </si>
  <si>
    <t>CUS08F30</t>
  </si>
  <si>
    <t>CUS357H3F</t>
  </si>
  <si>
    <t>J5</t>
  </si>
  <si>
    <t>FPC-05FB-50PH20</t>
  </si>
  <si>
    <t>FPC05FB50PH20</t>
  </si>
  <si>
    <t>U$1</t>
  </si>
  <si>
    <t>10uH/1A (20%)</t>
  </si>
  <si>
    <t>BCIHP0420SC-100M</t>
  </si>
  <si>
    <t>U$3</t>
  </si>
  <si>
    <t>U$2</t>
  </si>
  <si>
    <t>3.3uH 1.5A</t>
  </si>
  <si>
    <t>SL0420-3R3M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</si>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</sst>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3" borderId="0" xfId="0" applyFill="1"/>
    <xf numFmtId="0" fontId="18" fillId="33" borderId="15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19" fillId="0" borderId="0" xfId="0" applyFont="1" applyFill="1" applyBorder="1"/>
    <xf numFmtId="0" fontId="19" fillId="0" borderId="0" xfId="0" applyFont="1"/>
    <xf numFmtId="0" fontId="19" fillId="0" borderId="12" xfId="0" applyFont="1" applyBorder="1"/>
    <xf numFmtId="0" fontId="19" fillId="34" borderId="12" xfId="0" applyFont="1" applyFill="1" applyBorder="1"/>
    <xf numFmtId="0" fontId="19" fillId="0" borderId="11" xfId="0" applyFont="1" applyBorder="1"/>
    <xf numFmtId="0" fontId="19" fillId="34" borderId="11" xfId="0" applyFont="1" applyFill="1" applyBorder="1"/>
    <xf numFmtId="0" fontId="19" fillId="0" borderId="13" xfId="0" applyFont="1" applyBorder="1"/>
    <xf numFmtId="0" fontId="19" fillId="34" borderId="14" xfId="0" applyFont="1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945C37E-F1C9-4B15-9A3B-14B86DB4B93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B73A5-141E-4CA6-BB52-79B5416B5834}" name="PnP_EPAPER73_V1_v111_front" displayName="PnP_EPAPER73_V1_v111_front" ref="A1:F121" tableType="queryTable" totalsRowShown="0">
  <autoFilter ref="A1:F121" xr:uid="{A0FB73A5-141E-4CA6-BB52-79B5416B5834}"/>
  <sortState xmlns:xlrd2="http://schemas.microsoft.com/office/spreadsheetml/2017/richdata2" ref="A2:F120">
    <sortCondition ref="A1:A120"/>
  </sortState>
  <tableColumns count="6">
    <tableColumn id="1" xr3:uid="{7AD840BE-98C2-48BA-B825-BF483DA2F942}" uniqueName="1" name="Designator" queryTableFieldId="1" dataDxfId="2"/>
    <tableColumn id="2" xr3:uid="{86370FBB-3DD0-4625-8F2E-5CA76D23CD99}" uniqueName="2" name="Column2" queryTableFieldId="2"/>
    <tableColumn id="3" xr3:uid="{1727424F-6261-4276-9AEE-221D65E2123B}" uniqueName="3" name="Column3" queryTableFieldId="3"/>
    <tableColumn id="4" xr3:uid="{B0E1078E-9C64-4F38-9ECC-2D803C52F068}" uniqueName="4" name="Column4" queryTableFieldId="4"/>
    <tableColumn id="5" xr3:uid="{20ECB452-ED20-4188-B18A-EBAAB9136E35}" uniqueName="5" name="Column5" queryTableFieldId="5" dataDxfId="1"/>
    <tableColumn id="6" xr3:uid="{7C96E63C-1E02-4A0A-A7D5-5C6DE45B5EE9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023C-B7A1-46A6-A1D2-6A60B17745C5}">
  <dimension ref="A1:V132"/>
  <sheetViews>
    <sheetView tabSelected="1" zoomScale="85" zoomScaleNormal="85" workbookViewId="0">
      <selection activeCell="M13" sqref="M13"/>
    </sheetView>
  </sheetViews>
  <sheetFormatPr baseColWidth="10" defaultRowHeight="14.5" x14ac:dyDescent="0.35"/>
  <cols>
    <col min="5" max="5" width="36.453125" bestFit="1" customWidth="1"/>
    <col min="6" max="6" width="32.26953125" bestFit="1" customWidth="1"/>
    <col min="15" max="15" width="10.90625" style="4"/>
    <col min="16" max="16" width="10.81640625" style="4"/>
    <col min="17" max="18" width="10.90625" style="4"/>
  </cols>
  <sheetData>
    <row r="1" spans="1:22" x14ac:dyDescent="0.35">
      <c r="A1" t="s">
        <v>186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181</v>
      </c>
      <c r="H1" s="1" t="s">
        <v>182</v>
      </c>
      <c r="I1" s="1" t="s">
        <v>183</v>
      </c>
      <c r="J1" s="3" t="s">
        <v>184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x14ac:dyDescent="0.35">
      <c r="A2" s="7" t="s">
        <v>5</v>
      </c>
      <c r="B2" s="7">
        <v>7700</v>
      </c>
      <c r="C2" s="7">
        <v>9740</v>
      </c>
      <c r="D2" s="7">
        <v>27000</v>
      </c>
      <c r="E2" s="7" t="s">
        <v>6</v>
      </c>
      <c r="F2" s="7" t="s">
        <v>7</v>
      </c>
      <c r="G2">
        <f>PnP_EPAPER73_V1_v111_front[[#This Row],[Column2]]/100</f>
        <v>77</v>
      </c>
      <c r="H2">
        <f>PnP_EPAPER73_V1_v111_front[[#This Row],[Column3]]/100</f>
        <v>97.4</v>
      </c>
      <c r="I2">
        <f>PnP_EPAPER73_V1_v111_front[[#This Row],[Column4]]/100</f>
        <v>270</v>
      </c>
      <c r="J2" t="s">
        <v>185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35">
      <c r="A3" s="7" t="s">
        <v>8</v>
      </c>
      <c r="B3" s="7">
        <v>10970</v>
      </c>
      <c r="C3" s="8">
        <v>2920</v>
      </c>
      <c r="D3" s="7">
        <v>9000</v>
      </c>
      <c r="E3" s="7" t="s">
        <v>9</v>
      </c>
      <c r="F3" s="7" t="s">
        <v>7</v>
      </c>
      <c r="G3">
        <f>PnP_EPAPER73_V1_v111_front[[#This Row],[Column2]]/100</f>
        <v>109.7</v>
      </c>
      <c r="H3">
        <f>PnP_EPAPER73_V1_v111_front[[#This Row],[Column3]]/100</f>
        <v>29.2</v>
      </c>
      <c r="I3">
        <f>PnP_EPAPER73_V1_v111_front[[#This Row],[Column4]]/100</f>
        <v>90</v>
      </c>
      <c r="J3" t="s">
        <v>185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5">
      <c r="A4" s="7" t="s">
        <v>10</v>
      </c>
      <c r="B4" s="7">
        <v>10780</v>
      </c>
      <c r="C4" s="8">
        <v>2920</v>
      </c>
      <c r="D4" s="7">
        <v>9000</v>
      </c>
      <c r="E4" s="7" t="s">
        <v>6</v>
      </c>
      <c r="F4" s="7" t="s">
        <v>7</v>
      </c>
      <c r="G4">
        <f>PnP_EPAPER73_V1_v111_front[[#This Row],[Column2]]/100</f>
        <v>107.8</v>
      </c>
      <c r="H4">
        <f>PnP_EPAPER73_V1_v111_front[[#This Row],[Column3]]/100</f>
        <v>29.2</v>
      </c>
      <c r="I4">
        <f>PnP_EPAPER73_V1_v111_front[[#This Row],[Column4]]/100</f>
        <v>90</v>
      </c>
      <c r="J4" t="s">
        <v>185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35">
      <c r="A5" s="7" t="s">
        <v>11</v>
      </c>
      <c r="B5" s="7">
        <v>10590</v>
      </c>
      <c r="C5" s="8">
        <v>2920</v>
      </c>
      <c r="D5" s="7">
        <v>9000</v>
      </c>
      <c r="E5" s="7" t="s">
        <v>6</v>
      </c>
      <c r="F5" s="7" t="s">
        <v>7</v>
      </c>
      <c r="G5">
        <f>PnP_EPAPER73_V1_v111_front[[#This Row],[Column2]]/100</f>
        <v>105.9</v>
      </c>
      <c r="H5">
        <f>PnP_EPAPER73_V1_v111_front[[#This Row],[Column3]]/100</f>
        <v>29.2</v>
      </c>
      <c r="I5">
        <f>PnP_EPAPER73_V1_v111_front[[#This Row],[Column4]]/100</f>
        <v>90</v>
      </c>
      <c r="J5" t="s">
        <v>185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35">
      <c r="A6" s="7" t="s">
        <v>12</v>
      </c>
      <c r="B6" s="7">
        <v>10400</v>
      </c>
      <c r="C6" s="8">
        <v>2920</v>
      </c>
      <c r="D6" s="7">
        <v>9000</v>
      </c>
      <c r="E6" s="7" t="s">
        <v>6</v>
      </c>
      <c r="F6" s="7" t="s">
        <v>7</v>
      </c>
      <c r="G6">
        <f>PnP_EPAPER73_V1_v111_front[[#This Row],[Column2]]/100</f>
        <v>104</v>
      </c>
      <c r="H6">
        <f>PnP_EPAPER73_V1_v111_front[[#This Row],[Column3]]/100</f>
        <v>29.2</v>
      </c>
      <c r="I6">
        <f>PnP_EPAPER73_V1_v111_front[[#This Row],[Column4]]/100</f>
        <v>90</v>
      </c>
      <c r="J6" t="s">
        <v>185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35">
      <c r="A7" s="7" t="s">
        <v>13</v>
      </c>
      <c r="B7" s="7">
        <v>10210</v>
      </c>
      <c r="C7" s="8">
        <v>2920</v>
      </c>
      <c r="D7" s="7">
        <v>9000</v>
      </c>
      <c r="E7" s="7" t="s">
        <v>6</v>
      </c>
      <c r="F7" s="7" t="s">
        <v>7</v>
      </c>
      <c r="G7">
        <f>PnP_EPAPER73_V1_v111_front[[#This Row],[Column2]]/100</f>
        <v>102.1</v>
      </c>
      <c r="H7">
        <f>PnP_EPAPER73_V1_v111_front[[#This Row],[Column3]]/100</f>
        <v>29.2</v>
      </c>
      <c r="I7">
        <f>PnP_EPAPER73_V1_v111_front[[#This Row],[Column4]]/100</f>
        <v>90</v>
      </c>
      <c r="J7" t="s">
        <v>185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5">
      <c r="A8" s="7" t="s">
        <v>14</v>
      </c>
      <c r="B8" s="7">
        <v>10020</v>
      </c>
      <c r="C8" s="8">
        <v>2920</v>
      </c>
      <c r="D8" s="7">
        <v>9000</v>
      </c>
      <c r="E8" s="7" t="s">
        <v>6</v>
      </c>
      <c r="F8" s="7" t="s">
        <v>7</v>
      </c>
      <c r="G8">
        <f>PnP_EPAPER73_V1_v111_front[[#This Row],[Column2]]/100</f>
        <v>100.2</v>
      </c>
      <c r="H8">
        <f>PnP_EPAPER73_V1_v111_front[[#This Row],[Column3]]/100</f>
        <v>29.2</v>
      </c>
      <c r="I8">
        <f>PnP_EPAPER73_V1_v111_front[[#This Row],[Column4]]/100</f>
        <v>90</v>
      </c>
      <c r="J8" t="s">
        <v>185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35">
      <c r="A9" s="7" t="s">
        <v>15</v>
      </c>
      <c r="B9" s="7">
        <v>9830</v>
      </c>
      <c r="C9" s="8">
        <v>2920</v>
      </c>
      <c r="D9" s="7">
        <v>9000</v>
      </c>
      <c r="E9" s="7" t="s">
        <v>6</v>
      </c>
      <c r="F9" s="7" t="s">
        <v>7</v>
      </c>
      <c r="G9">
        <f>PnP_EPAPER73_V1_v111_front[[#This Row],[Column2]]/100</f>
        <v>98.3</v>
      </c>
      <c r="H9">
        <f>PnP_EPAPER73_V1_v111_front[[#This Row],[Column3]]/100</f>
        <v>29.2</v>
      </c>
      <c r="I9">
        <f>PnP_EPAPER73_V1_v111_front[[#This Row],[Column4]]/100</f>
        <v>90</v>
      </c>
      <c r="J9" t="s">
        <v>185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35">
      <c r="A10" s="7" t="s">
        <v>16</v>
      </c>
      <c r="B10" s="7">
        <v>9640</v>
      </c>
      <c r="C10" s="8">
        <v>2920</v>
      </c>
      <c r="D10" s="7">
        <v>9000</v>
      </c>
      <c r="E10" s="7" t="s">
        <v>17</v>
      </c>
      <c r="F10" s="7" t="s">
        <v>7</v>
      </c>
      <c r="G10">
        <f>PnP_EPAPER73_V1_v111_front[[#This Row],[Column2]]/100</f>
        <v>96.4</v>
      </c>
      <c r="H10">
        <f>PnP_EPAPER73_V1_v111_front[[#This Row],[Column3]]/100</f>
        <v>29.2</v>
      </c>
      <c r="I10">
        <f>PnP_EPAPER73_V1_v111_front[[#This Row],[Column4]]/100</f>
        <v>90</v>
      </c>
      <c r="J10" t="s">
        <v>185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5">
      <c r="A11" s="7" t="s">
        <v>18</v>
      </c>
      <c r="B11" s="7">
        <v>9450</v>
      </c>
      <c r="C11" s="8">
        <v>2920</v>
      </c>
      <c r="D11" s="7">
        <v>9000</v>
      </c>
      <c r="E11" s="7" t="s">
        <v>17</v>
      </c>
      <c r="F11" s="7" t="s">
        <v>7</v>
      </c>
      <c r="G11">
        <f>PnP_EPAPER73_V1_v111_front[[#This Row],[Column2]]/100</f>
        <v>94.5</v>
      </c>
      <c r="H11">
        <f>PnP_EPAPER73_V1_v111_front[[#This Row],[Column3]]/100</f>
        <v>29.2</v>
      </c>
      <c r="I11">
        <f>PnP_EPAPER73_V1_v111_front[[#This Row],[Column4]]/100</f>
        <v>90</v>
      </c>
      <c r="J11" t="s">
        <v>185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5">
      <c r="A12" s="7" t="s">
        <v>19</v>
      </c>
      <c r="B12" s="7">
        <v>9260</v>
      </c>
      <c r="C12" s="8">
        <v>2920</v>
      </c>
      <c r="D12" s="7">
        <v>9000</v>
      </c>
      <c r="E12" s="7" t="s">
        <v>20</v>
      </c>
      <c r="F12" s="7" t="s">
        <v>7</v>
      </c>
      <c r="G12">
        <f>PnP_EPAPER73_V1_v111_front[[#This Row],[Column2]]/100</f>
        <v>92.6</v>
      </c>
      <c r="H12">
        <f>PnP_EPAPER73_V1_v111_front[[#This Row],[Column3]]/100</f>
        <v>29.2</v>
      </c>
      <c r="I12">
        <f>PnP_EPAPER73_V1_v111_front[[#This Row],[Column4]]/100</f>
        <v>90</v>
      </c>
      <c r="J12" t="s">
        <v>185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5">
      <c r="A13" s="7" t="s">
        <v>21</v>
      </c>
      <c r="B13" s="7">
        <v>7960</v>
      </c>
      <c r="C13" s="7">
        <v>10020</v>
      </c>
      <c r="D13" s="7">
        <v>0</v>
      </c>
      <c r="E13" s="7" t="s">
        <v>22</v>
      </c>
      <c r="F13" s="7" t="s">
        <v>7</v>
      </c>
      <c r="G13">
        <f>PnP_EPAPER73_V1_v111_front[[#This Row],[Column2]]/100</f>
        <v>79.599999999999994</v>
      </c>
      <c r="H13">
        <f>PnP_EPAPER73_V1_v111_front[[#This Row],[Column3]]/100</f>
        <v>100.2</v>
      </c>
      <c r="I13">
        <f>PnP_EPAPER73_V1_v111_front[[#This Row],[Column4]]/100</f>
        <v>0</v>
      </c>
      <c r="J13" t="s">
        <v>185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35">
      <c r="A14" s="7" t="s">
        <v>23</v>
      </c>
      <c r="B14" s="7">
        <v>8880</v>
      </c>
      <c r="C14" s="9">
        <v>2920</v>
      </c>
      <c r="D14" s="7">
        <v>9000</v>
      </c>
      <c r="E14" s="7" t="s">
        <v>17</v>
      </c>
      <c r="F14" s="7" t="s">
        <v>7</v>
      </c>
      <c r="G14">
        <f>PnP_EPAPER73_V1_v111_front[[#This Row],[Column2]]/100</f>
        <v>88.8</v>
      </c>
      <c r="H14">
        <f>PnP_EPAPER73_V1_v111_front[[#This Row],[Column3]]/100</f>
        <v>29.2</v>
      </c>
      <c r="I14">
        <f>PnP_EPAPER73_V1_v111_front[[#This Row],[Column4]]/100</f>
        <v>90</v>
      </c>
      <c r="J14" t="s">
        <v>185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35">
      <c r="A15" s="7" t="s">
        <v>24</v>
      </c>
      <c r="B15" s="8">
        <v>8160</v>
      </c>
      <c r="C15" s="8">
        <v>2920</v>
      </c>
      <c r="D15" s="7">
        <v>27000</v>
      </c>
      <c r="E15" s="7" t="s">
        <v>17</v>
      </c>
      <c r="F15" s="7" t="s">
        <v>7</v>
      </c>
      <c r="G15">
        <f>PnP_EPAPER73_V1_v111_front[[#This Row],[Column2]]/100</f>
        <v>81.599999999999994</v>
      </c>
      <c r="H15">
        <f>PnP_EPAPER73_V1_v111_front[[#This Row],[Column3]]/100</f>
        <v>29.2</v>
      </c>
      <c r="I15">
        <f>PnP_EPAPER73_V1_v111_front[[#This Row],[Column4]]/100</f>
        <v>270</v>
      </c>
      <c r="J15" t="s">
        <v>185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35">
      <c r="A16" s="7" t="s">
        <v>25</v>
      </c>
      <c r="B16" s="7">
        <v>8340</v>
      </c>
      <c r="C16" s="9">
        <v>2920</v>
      </c>
      <c r="D16" s="7">
        <v>9000</v>
      </c>
      <c r="E16" s="7" t="s">
        <v>17</v>
      </c>
      <c r="F16" s="7" t="s">
        <v>7</v>
      </c>
      <c r="G16">
        <f>PnP_EPAPER73_V1_v111_front[[#This Row],[Column2]]/100</f>
        <v>83.4</v>
      </c>
      <c r="H16">
        <f>PnP_EPAPER73_V1_v111_front[[#This Row],[Column3]]/100</f>
        <v>29.2</v>
      </c>
      <c r="I16">
        <f>PnP_EPAPER73_V1_v111_front[[#This Row],[Column4]]/100</f>
        <v>90</v>
      </c>
      <c r="J16" t="s">
        <v>185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35">
      <c r="A17" s="7" t="s">
        <v>26</v>
      </c>
      <c r="B17" s="7">
        <v>8700</v>
      </c>
      <c r="C17" s="9">
        <v>2920</v>
      </c>
      <c r="D17" s="7">
        <v>9000</v>
      </c>
      <c r="E17" s="7" t="s">
        <v>17</v>
      </c>
      <c r="F17" s="7" t="s">
        <v>7</v>
      </c>
      <c r="G17">
        <f>PnP_EPAPER73_V1_v111_front[[#This Row],[Column2]]/100</f>
        <v>87</v>
      </c>
      <c r="H17">
        <f>PnP_EPAPER73_V1_v111_front[[#This Row],[Column3]]/100</f>
        <v>29.2</v>
      </c>
      <c r="I17">
        <f>PnP_EPAPER73_V1_v111_front[[#This Row],[Column4]]/100</f>
        <v>90</v>
      </c>
      <c r="J17" t="s">
        <v>185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35">
      <c r="A18" s="7" t="s">
        <v>27</v>
      </c>
      <c r="B18" s="7">
        <v>8520</v>
      </c>
      <c r="C18" s="9">
        <v>2920</v>
      </c>
      <c r="D18" s="7">
        <v>9000</v>
      </c>
      <c r="E18" s="7" t="s">
        <v>28</v>
      </c>
      <c r="F18" s="7" t="s">
        <v>7</v>
      </c>
      <c r="G18">
        <f>PnP_EPAPER73_V1_v111_front[[#This Row],[Column2]]/100</f>
        <v>85.2</v>
      </c>
      <c r="H18">
        <f>PnP_EPAPER73_V1_v111_front[[#This Row],[Column3]]/100</f>
        <v>29.2</v>
      </c>
      <c r="I18">
        <f>PnP_EPAPER73_V1_v111_front[[#This Row],[Column4]]/100</f>
        <v>90</v>
      </c>
      <c r="J18" t="s">
        <v>185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35">
      <c r="A19" s="7" t="s">
        <v>29</v>
      </c>
      <c r="B19" s="7">
        <v>9070</v>
      </c>
      <c r="C19" s="9">
        <v>2920</v>
      </c>
      <c r="D19" s="7">
        <v>27000</v>
      </c>
      <c r="E19" s="7" t="s">
        <v>30</v>
      </c>
      <c r="F19" s="7" t="s">
        <v>7</v>
      </c>
      <c r="G19">
        <f>PnP_EPAPER73_V1_v111_front[[#This Row],[Column2]]/100</f>
        <v>90.7</v>
      </c>
      <c r="H19">
        <f>PnP_EPAPER73_V1_v111_front[[#This Row],[Column3]]/100</f>
        <v>29.2</v>
      </c>
      <c r="I19">
        <f>PnP_EPAPER73_V1_v111_front[[#This Row],[Column4]]/100</f>
        <v>270</v>
      </c>
      <c r="J19" t="s">
        <v>185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35">
      <c r="A20" s="7" t="s">
        <v>31</v>
      </c>
      <c r="B20" s="7">
        <v>10110</v>
      </c>
      <c r="C20" s="9">
        <v>3920</v>
      </c>
      <c r="D20" s="7">
        <v>0</v>
      </c>
      <c r="E20" s="7" t="s">
        <v>32</v>
      </c>
      <c r="F20" s="7" t="s">
        <v>7</v>
      </c>
      <c r="G20">
        <f>PnP_EPAPER73_V1_v111_front[[#This Row],[Column2]]/100</f>
        <v>101.1</v>
      </c>
      <c r="H20">
        <f>PnP_EPAPER73_V1_v111_front[[#This Row],[Column3]]/100</f>
        <v>39.200000000000003</v>
      </c>
      <c r="I20">
        <f>PnP_EPAPER73_V1_v111_front[[#This Row],[Column4]]/100</f>
        <v>0</v>
      </c>
      <c r="J20" t="s">
        <v>185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35">
      <c r="A21" s="7" t="s">
        <v>33</v>
      </c>
      <c r="B21" s="7">
        <v>10110</v>
      </c>
      <c r="C21" s="8">
        <v>3720</v>
      </c>
      <c r="D21" s="7">
        <v>0</v>
      </c>
      <c r="E21" s="7" t="s">
        <v>30</v>
      </c>
      <c r="F21" s="7" t="s">
        <v>7</v>
      </c>
      <c r="G21">
        <f>PnP_EPAPER73_V1_v111_front[[#This Row],[Column2]]/100</f>
        <v>101.1</v>
      </c>
      <c r="H21">
        <f>PnP_EPAPER73_V1_v111_front[[#This Row],[Column3]]/100</f>
        <v>37.200000000000003</v>
      </c>
      <c r="I21">
        <f>PnP_EPAPER73_V1_v111_front[[#This Row],[Column4]]/100</f>
        <v>0</v>
      </c>
      <c r="J21" t="s">
        <v>185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35">
      <c r="A22" s="7" t="s">
        <v>34</v>
      </c>
      <c r="B22" s="7">
        <v>9769</v>
      </c>
      <c r="C22" s="9">
        <v>3720</v>
      </c>
      <c r="D22" s="7">
        <v>18000</v>
      </c>
      <c r="E22" s="7" t="s">
        <v>35</v>
      </c>
      <c r="F22" s="7" t="s">
        <v>7</v>
      </c>
      <c r="G22">
        <f>PnP_EPAPER73_V1_v111_front[[#This Row],[Column2]]/100</f>
        <v>97.69</v>
      </c>
      <c r="H22">
        <f>PnP_EPAPER73_V1_v111_front[[#This Row],[Column3]]/100</f>
        <v>37.200000000000003</v>
      </c>
      <c r="I22">
        <f>PnP_EPAPER73_V1_v111_front[[#This Row],[Column4]]/100</f>
        <v>180</v>
      </c>
      <c r="J22" t="s">
        <v>185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35">
      <c r="A23" s="7" t="s">
        <v>36</v>
      </c>
      <c r="B23" s="8">
        <v>11210</v>
      </c>
      <c r="C23" s="8">
        <v>4100</v>
      </c>
      <c r="D23" s="8">
        <v>18000</v>
      </c>
      <c r="E23" s="7" t="s">
        <v>35</v>
      </c>
      <c r="F23" s="7" t="s">
        <v>7</v>
      </c>
      <c r="G23">
        <f>PnP_EPAPER73_V1_v111_front[[#This Row],[Column2]]/100</f>
        <v>112.1</v>
      </c>
      <c r="H23">
        <f>PnP_EPAPER73_V1_v111_front[[#This Row],[Column3]]/100</f>
        <v>41</v>
      </c>
      <c r="I23">
        <f>PnP_EPAPER73_V1_v111_front[[#This Row],[Column4]]/100</f>
        <v>180</v>
      </c>
      <c r="J23" t="s">
        <v>185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35">
      <c r="A24" s="7" t="s">
        <v>37</v>
      </c>
      <c r="B24" s="7">
        <v>2760</v>
      </c>
      <c r="C24" s="7">
        <v>10620</v>
      </c>
      <c r="D24" s="7">
        <v>27000</v>
      </c>
      <c r="E24" s="7" t="s">
        <v>6</v>
      </c>
      <c r="F24" s="7" t="s">
        <v>7</v>
      </c>
      <c r="G24">
        <f>PnP_EPAPER73_V1_v111_front[[#This Row],[Column2]]/100</f>
        <v>27.6</v>
      </c>
      <c r="H24">
        <f>PnP_EPAPER73_V1_v111_front[[#This Row],[Column3]]/100</f>
        <v>106.2</v>
      </c>
      <c r="I24">
        <f>PnP_EPAPER73_V1_v111_front[[#This Row],[Column4]]/100</f>
        <v>270</v>
      </c>
      <c r="J24" t="s">
        <v>185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35">
      <c r="A25" s="7" t="s">
        <v>38</v>
      </c>
      <c r="B25" s="8">
        <v>8940</v>
      </c>
      <c r="C25" s="8">
        <v>3970</v>
      </c>
      <c r="D25" s="8">
        <v>18000</v>
      </c>
      <c r="E25" s="7" t="s">
        <v>6</v>
      </c>
      <c r="F25" s="7" t="s">
        <v>7</v>
      </c>
      <c r="G25">
        <f>PnP_EPAPER73_V1_v111_front[[#This Row],[Column2]]/100</f>
        <v>89.4</v>
      </c>
      <c r="H25">
        <f>PnP_EPAPER73_V1_v111_front[[#This Row],[Column3]]/100</f>
        <v>39.700000000000003</v>
      </c>
      <c r="I25">
        <f>PnP_EPAPER73_V1_v111_front[[#This Row],[Column4]]/100</f>
        <v>180</v>
      </c>
      <c r="J25" t="s">
        <v>185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35">
      <c r="A26" s="7" t="s">
        <v>39</v>
      </c>
      <c r="B26" s="7">
        <v>10110</v>
      </c>
      <c r="C26" s="9">
        <v>3320</v>
      </c>
      <c r="D26" s="7">
        <v>0</v>
      </c>
      <c r="E26" s="7" t="s">
        <v>6</v>
      </c>
      <c r="F26" s="7" t="s">
        <v>7</v>
      </c>
      <c r="G26">
        <f>PnP_EPAPER73_V1_v111_front[[#This Row],[Column2]]/100</f>
        <v>101.1</v>
      </c>
      <c r="H26">
        <f>PnP_EPAPER73_V1_v111_front[[#This Row],[Column3]]/100</f>
        <v>33.200000000000003</v>
      </c>
      <c r="I26">
        <f>PnP_EPAPER73_V1_v111_front[[#This Row],[Column4]]/100</f>
        <v>0</v>
      </c>
      <c r="J26" t="s">
        <v>185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35">
      <c r="A27" s="7" t="s">
        <v>40</v>
      </c>
      <c r="B27" s="7">
        <v>10110</v>
      </c>
      <c r="C27" s="8">
        <v>3520</v>
      </c>
      <c r="D27" s="7">
        <v>0</v>
      </c>
      <c r="E27" s="7" t="s">
        <v>30</v>
      </c>
      <c r="F27" s="7" t="s">
        <v>7</v>
      </c>
      <c r="G27">
        <f>PnP_EPAPER73_V1_v111_front[[#This Row],[Column2]]/100</f>
        <v>101.1</v>
      </c>
      <c r="H27">
        <f>PnP_EPAPER73_V1_v111_front[[#This Row],[Column3]]/100</f>
        <v>35.200000000000003</v>
      </c>
      <c r="I27">
        <f>PnP_EPAPER73_V1_v111_front[[#This Row],[Column4]]/100</f>
        <v>0</v>
      </c>
      <c r="J27" t="s">
        <v>185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35">
      <c r="A28" s="7" t="s">
        <v>41</v>
      </c>
      <c r="B28" s="7">
        <v>9770</v>
      </c>
      <c r="C28" s="9">
        <v>3520</v>
      </c>
      <c r="D28" s="7">
        <v>18000</v>
      </c>
      <c r="E28" s="7" t="s">
        <v>6</v>
      </c>
      <c r="F28" s="7" t="s">
        <v>7</v>
      </c>
      <c r="G28">
        <f>PnP_EPAPER73_V1_v111_front[[#This Row],[Column2]]/100</f>
        <v>97.7</v>
      </c>
      <c r="H28">
        <f>PnP_EPAPER73_V1_v111_front[[#This Row],[Column3]]/100</f>
        <v>35.200000000000003</v>
      </c>
      <c r="I28">
        <f>PnP_EPAPER73_V1_v111_front[[#This Row],[Column4]]/100</f>
        <v>180</v>
      </c>
      <c r="J28" t="s">
        <v>185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35">
      <c r="A29" s="7" t="s">
        <v>42</v>
      </c>
      <c r="B29" s="7">
        <v>9770</v>
      </c>
      <c r="C29" s="8">
        <v>3320</v>
      </c>
      <c r="D29" s="7">
        <v>18000</v>
      </c>
      <c r="E29" s="7" t="s">
        <v>30</v>
      </c>
      <c r="F29" s="7" t="s">
        <v>7</v>
      </c>
      <c r="G29">
        <f>PnP_EPAPER73_V1_v111_front[[#This Row],[Column2]]/100</f>
        <v>97.7</v>
      </c>
      <c r="H29">
        <f>PnP_EPAPER73_V1_v111_front[[#This Row],[Column3]]/100</f>
        <v>33.200000000000003</v>
      </c>
      <c r="I29">
        <f>PnP_EPAPER73_V1_v111_front[[#This Row],[Column4]]/100</f>
        <v>180</v>
      </c>
      <c r="J29" t="s">
        <v>185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35">
      <c r="A30" s="7" t="s">
        <v>43</v>
      </c>
      <c r="B30" s="9">
        <v>8130</v>
      </c>
      <c r="C30" s="9">
        <v>7510</v>
      </c>
      <c r="D30" s="7">
        <v>9000</v>
      </c>
      <c r="E30" s="7" t="s">
        <v>44</v>
      </c>
      <c r="F30" s="7" t="s">
        <v>45</v>
      </c>
      <c r="G30">
        <f>PnP_EPAPER73_V1_v111_front[[#This Row],[Column2]]/100</f>
        <v>81.3</v>
      </c>
      <c r="H30">
        <f>PnP_EPAPER73_V1_v111_front[[#This Row],[Column3]]/100</f>
        <v>75.099999999999994</v>
      </c>
      <c r="I30" s="2">
        <f>PnP_EPAPER73_V1_v111_front[[#This Row],[Column4]]/100</f>
        <v>90</v>
      </c>
      <c r="J30" t="s">
        <v>185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x14ac:dyDescent="0.35">
      <c r="A31" s="7" t="s">
        <v>46</v>
      </c>
      <c r="B31" s="8">
        <v>2920</v>
      </c>
      <c r="C31" s="8">
        <v>9490</v>
      </c>
      <c r="D31" s="8">
        <v>27000</v>
      </c>
      <c r="E31" s="7" t="s">
        <v>35</v>
      </c>
      <c r="F31" s="7" t="s">
        <v>7</v>
      </c>
      <c r="G31">
        <f>PnP_EPAPER73_V1_v111_front[[#This Row],[Column2]]/100</f>
        <v>29.2</v>
      </c>
      <c r="H31">
        <f>PnP_EPAPER73_V1_v111_front[[#This Row],[Column3]]/100</f>
        <v>94.9</v>
      </c>
      <c r="I31">
        <f>PnP_EPAPER73_V1_v111_front[[#This Row],[Column4]]/100</f>
        <v>270</v>
      </c>
      <c r="J31" t="s">
        <v>185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35">
      <c r="A32" s="7" t="s">
        <v>47</v>
      </c>
      <c r="B32" s="7">
        <v>3180</v>
      </c>
      <c r="C32" s="7">
        <v>9750</v>
      </c>
      <c r="D32" s="7">
        <v>0</v>
      </c>
      <c r="E32" s="7" t="s">
        <v>35</v>
      </c>
      <c r="F32" s="7" t="s">
        <v>7</v>
      </c>
      <c r="G32">
        <f>PnP_EPAPER73_V1_v111_front[[#This Row],[Column2]]/100</f>
        <v>31.8</v>
      </c>
      <c r="H32">
        <f>PnP_EPAPER73_V1_v111_front[[#This Row],[Column3]]/100</f>
        <v>97.5</v>
      </c>
      <c r="I32">
        <f>PnP_EPAPER73_V1_v111_front[[#This Row],[Column4]]/100</f>
        <v>0</v>
      </c>
      <c r="J32" t="s">
        <v>185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x14ac:dyDescent="0.35">
      <c r="A33" s="7" t="s">
        <v>48</v>
      </c>
      <c r="B33" s="7">
        <v>3100</v>
      </c>
      <c r="C33" s="7">
        <v>10010</v>
      </c>
      <c r="D33" s="7">
        <v>9000</v>
      </c>
      <c r="E33" s="7" t="s">
        <v>6</v>
      </c>
      <c r="F33" s="7" t="s">
        <v>7</v>
      </c>
      <c r="G33">
        <f>PnP_EPAPER73_V1_v111_front[[#This Row],[Column2]]/100</f>
        <v>31</v>
      </c>
      <c r="H33">
        <f>PnP_EPAPER73_V1_v111_front[[#This Row],[Column3]]/100</f>
        <v>100.1</v>
      </c>
      <c r="I33">
        <f>PnP_EPAPER73_V1_v111_front[[#This Row],[Column4]]/100</f>
        <v>90</v>
      </c>
      <c r="J33" t="s">
        <v>185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x14ac:dyDescent="0.35">
      <c r="A34" s="7" t="s">
        <v>49</v>
      </c>
      <c r="B34" s="7">
        <v>2470</v>
      </c>
      <c r="C34" s="7">
        <v>8220</v>
      </c>
      <c r="D34" s="7">
        <v>9000</v>
      </c>
      <c r="E34" s="7" t="s">
        <v>22</v>
      </c>
      <c r="F34" s="7" t="s">
        <v>7</v>
      </c>
      <c r="G34">
        <f>PnP_EPAPER73_V1_v111_front[[#This Row],[Column2]]/100</f>
        <v>24.7</v>
      </c>
      <c r="H34">
        <f>PnP_EPAPER73_V1_v111_front[[#This Row],[Column3]]/100</f>
        <v>82.2</v>
      </c>
      <c r="I34">
        <f>PnP_EPAPER73_V1_v111_front[[#This Row],[Column4]]/100</f>
        <v>90</v>
      </c>
      <c r="J34" t="s">
        <v>185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x14ac:dyDescent="0.35">
      <c r="A35" s="7" t="s">
        <v>50</v>
      </c>
      <c r="B35" s="7">
        <v>2550</v>
      </c>
      <c r="C35" s="7">
        <v>10290</v>
      </c>
      <c r="D35" s="7">
        <v>9000</v>
      </c>
      <c r="E35" s="7" t="s">
        <v>35</v>
      </c>
      <c r="F35" s="7" t="s">
        <v>7</v>
      </c>
      <c r="G35">
        <f>PnP_EPAPER73_V1_v111_front[[#This Row],[Column2]]/100</f>
        <v>25.5</v>
      </c>
      <c r="H35">
        <f>PnP_EPAPER73_V1_v111_front[[#This Row],[Column3]]/100</f>
        <v>102.9</v>
      </c>
      <c r="I35">
        <f>PnP_EPAPER73_V1_v111_front[[#This Row],[Column4]]/100</f>
        <v>90</v>
      </c>
      <c r="J35" t="s">
        <v>185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x14ac:dyDescent="0.35">
      <c r="A36" s="7" t="s">
        <v>51</v>
      </c>
      <c r="B36" s="7">
        <v>2830</v>
      </c>
      <c r="C36" s="7">
        <v>8600</v>
      </c>
      <c r="D36" s="7">
        <v>9000</v>
      </c>
      <c r="E36" s="7" t="s">
        <v>22</v>
      </c>
      <c r="F36" s="7" t="s">
        <v>7</v>
      </c>
      <c r="G36">
        <f>PnP_EPAPER73_V1_v111_front[[#This Row],[Column2]]/100</f>
        <v>28.3</v>
      </c>
      <c r="H36">
        <f>PnP_EPAPER73_V1_v111_front[[#This Row],[Column3]]/100</f>
        <v>86</v>
      </c>
      <c r="I36">
        <f>PnP_EPAPER73_V1_v111_front[[#This Row],[Column4]]/100</f>
        <v>90</v>
      </c>
      <c r="J36" t="s">
        <v>185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x14ac:dyDescent="0.35">
      <c r="A37" s="10" t="s">
        <v>212</v>
      </c>
      <c r="B37" s="8">
        <v>3440</v>
      </c>
      <c r="C37" s="8">
        <v>8290</v>
      </c>
      <c r="D37" s="8">
        <v>27000</v>
      </c>
      <c r="E37" s="7" t="s">
        <v>44</v>
      </c>
      <c r="F37" s="7" t="s">
        <v>45</v>
      </c>
      <c r="G37">
        <f>PnP_EPAPER73_V1_v111_front[[#This Row],[Column2]]/100</f>
        <v>34.4</v>
      </c>
      <c r="H37">
        <f>PnP_EPAPER73_V1_v111_front[[#This Row],[Column3]]/100</f>
        <v>82.9</v>
      </c>
      <c r="I37">
        <f>PnP_EPAPER73_V1_v111_front[[#This Row],[Column4]]/100</f>
        <v>270</v>
      </c>
      <c r="J37" t="s">
        <v>185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x14ac:dyDescent="0.35">
      <c r="A38" s="11" t="s">
        <v>213</v>
      </c>
      <c r="B38" s="9">
        <v>3340</v>
      </c>
      <c r="C38" s="9">
        <v>8290</v>
      </c>
      <c r="D38" s="9">
        <v>27000</v>
      </c>
      <c r="E38" s="7" t="s">
        <v>54</v>
      </c>
      <c r="F38" s="7" t="s">
        <v>45</v>
      </c>
      <c r="G38">
        <f>PnP_EPAPER73_V1_v111_front[[#This Row],[Column2]]/100</f>
        <v>33.4</v>
      </c>
      <c r="H38">
        <f>PnP_EPAPER73_V1_v111_front[[#This Row],[Column3]]/100</f>
        <v>82.9</v>
      </c>
      <c r="I38">
        <f>PnP_EPAPER73_V1_v111_front[[#This Row],[Column4]]/100</f>
        <v>270</v>
      </c>
      <c r="J38" t="s">
        <v>185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x14ac:dyDescent="0.35">
      <c r="A39" s="10" t="s">
        <v>52</v>
      </c>
      <c r="B39" s="8">
        <v>4682</v>
      </c>
      <c r="C39" s="8">
        <v>8890</v>
      </c>
      <c r="D39" s="8">
        <v>18000</v>
      </c>
      <c r="E39" s="7" t="s">
        <v>6</v>
      </c>
      <c r="F39" s="7" t="s">
        <v>7</v>
      </c>
      <c r="G39">
        <f>PnP_EPAPER73_V1_v111_front[[#This Row],[Column2]]/100</f>
        <v>46.82</v>
      </c>
      <c r="H39">
        <f>PnP_EPAPER73_V1_v111_front[[#This Row],[Column3]]/100</f>
        <v>88.9</v>
      </c>
      <c r="I39">
        <f>PnP_EPAPER73_V1_v111_front[[#This Row],[Column4]]/100</f>
        <v>180</v>
      </c>
      <c r="J39" t="s">
        <v>185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x14ac:dyDescent="0.35">
      <c r="A40" s="7" t="s">
        <v>53</v>
      </c>
      <c r="B40" s="7">
        <v>3230</v>
      </c>
      <c r="C40" s="7">
        <v>6970</v>
      </c>
      <c r="D40" s="7">
        <v>0</v>
      </c>
      <c r="E40" s="7" t="s">
        <v>54</v>
      </c>
      <c r="F40" s="7" t="s">
        <v>45</v>
      </c>
      <c r="G40">
        <f>PnP_EPAPER73_V1_v111_front[[#This Row],[Column2]]/100</f>
        <v>32.299999999999997</v>
      </c>
      <c r="H40">
        <f>PnP_EPAPER73_V1_v111_front[[#This Row],[Column3]]/100</f>
        <v>69.7</v>
      </c>
      <c r="I40">
        <f>PnP_EPAPER73_V1_v111_front[[#This Row],[Column4]]/100</f>
        <v>0</v>
      </c>
      <c r="J40" t="s">
        <v>185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x14ac:dyDescent="0.35">
      <c r="A41" s="7" t="s">
        <v>55</v>
      </c>
      <c r="B41" s="7">
        <v>2700</v>
      </c>
      <c r="C41" s="7">
        <v>6800</v>
      </c>
      <c r="D41" s="7">
        <v>0</v>
      </c>
      <c r="E41" s="7" t="s">
        <v>6</v>
      </c>
      <c r="F41" s="7" t="s">
        <v>7</v>
      </c>
      <c r="G41">
        <f>PnP_EPAPER73_V1_v111_front[[#This Row],[Column2]]/100</f>
        <v>27</v>
      </c>
      <c r="H41">
        <f>PnP_EPAPER73_V1_v111_front[[#This Row],[Column3]]/100</f>
        <v>68</v>
      </c>
      <c r="I41">
        <f>PnP_EPAPER73_V1_v111_front[[#This Row],[Column4]]/100</f>
        <v>0</v>
      </c>
      <c r="J41" t="s">
        <v>185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x14ac:dyDescent="0.35">
      <c r="A42" s="7" t="s">
        <v>56</v>
      </c>
      <c r="B42" s="7">
        <v>2700</v>
      </c>
      <c r="C42" s="7">
        <v>7000</v>
      </c>
      <c r="D42" s="7">
        <v>0</v>
      </c>
      <c r="E42" s="7" t="s">
        <v>22</v>
      </c>
      <c r="F42" s="7" t="s">
        <v>7</v>
      </c>
      <c r="G42">
        <f>PnP_EPAPER73_V1_v111_front[[#This Row],[Column2]]/100</f>
        <v>27</v>
      </c>
      <c r="H42">
        <f>PnP_EPAPER73_V1_v111_front[[#This Row],[Column3]]/100</f>
        <v>70</v>
      </c>
      <c r="I42">
        <f>PnP_EPAPER73_V1_v111_front[[#This Row],[Column4]]/100</f>
        <v>0</v>
      </c>
      <c r="J42" t="s">
        <v>185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x14ac:dyDescent="0.35">
      <c r="A43" s="7" t="s">
        <v>57</v>
      </c>
      <c r="B43" s="7">
        <v>3230</v>
      </c>
      <c r="C43" s="7">
        <v>6870</v>
      </c>
      <c r="D43" s="7">
        <v>0</v>
      </c>
      <c r="E43" s="7" t="s">
        <v>44</v>
      </c>
      <c r="F43" s="7" t="s">
        <v>45</v>
      </c>
      <c r="G43">
        <f>PnP_EPAPER73_V1_v111_front[[#This Row],[Column2]]/100</f>
        <v>32.299999999999997</v>
      </c>
      <c r="H43">
        <f>PnP_EPAPER73_V1_v111_front[[#This Row],[Column3]]/100</f>
        <v>68.7</v>
      </c>
      <c r="I43">
        <f>PnP_EPAPER73_V1_v111_front[[#This Row],[Column4]]/100</f>
        <v>0</v>
      </c>
      <c r="J43" t="s">
        <v>185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x14ac:dyDescent="0.35">
      <c r="A44" s="7" t="s">
        <v>58</v>
      </c>
      <c r="B44" s="7">
        <v>2700</v>
      </c>
      <c r="C44" s="7">
        <v>7800</v>
      </c>
      <c r="D44" s="7">
        <v>0</v>
      </c>
      <c r="E44" s="7" t="s">
        <v>6</v>
      </c>
      <c r="F44" s="7" t="s">
        <v>7</v>
      </c>
      <c r="G44">
        <f>PnP_EPAPER73_V1_v111_front[[#This Row],[Column2]]/100</f>
        <v>27</v>
      </c>
      <c r="H44">
        <f>PnP_EPAPER73_V1_v111_front[[#This Row],[Column3]]/100</f>
        <v>78</v>
      </c>
      <c r="I44">
        <f>PnP_EPAPER73_V1_v111_front[[#This Row],[Column4]]/100</f>
        <v>0</v>
      </c>
      <c r="J44" t="s">
        <v>185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x14ac:dyDescent="0.35">
      <c r="A45" s="7" t="s">
        <v>59</v>
      </c>
      <c r="B45" s="7">
        <v>2550</v>
      </c>
      <c r="C45" s="7">
        <v>10620</v>
      </c>
      <c r="D45" s="7">
        <v>27000</v>
      </c>
      <c r="E45" s="7" t="s">
        <v>35</v>
      </c>
      <c r="F45" s="7" t="s">
        <v>7</v>
      </c>
      <c r="G45">
        <f>PnP_EPAPER73_V1_v111_front[[#This Row],[Column2]]/100</f>
        <v>25.5</v>
      </c>
      <c r="H45">
        <f>PnP_EPAPER73_V1_v111_front[[#This Row],[Column3]]/100</f>
        <v>106.2</v>
      </c>
      <c r="I45">
        <f>PnP_EPAPER73_V1_v111_front[[#This Row],[Column4]]/100</f>
        <v>270</v>
      </c>
      <c r="J45" t="s">
        <v>185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x14ac:dyDescent="0.35">
      <c r="A46" s="7" t="s">
        <v>60</v>
      </c>
      <c r="B46" s="7">
        <v>2700</v>
      </c>
      <c r="C46" s="7">
        <v>7600</v>
      </c>
      <c r="D46" s="7">
        <v>0</v>
      </c>
      <c r="E46" s="7" t="s">
        <v>6</v>
      </c>
      <c r="F46" s="7" t="s">
        <v>7</v>
      </c>
      <c r="G46">
        <f>PnP_EPAPER73_V1_v111_front[[#This Row],[Column2]]/100</f>
        <v>27</v>
      </c>
      <c r="H46">
        <f>PnP_EPAPER73_V1_v111_front[[#This Row],[Column3]]/100</f>
        <v>76</v>
      </c>
      <c r="I46">
        <f>PnP_EPAPER73_V1_v111_front[[#This Row],[Column4]]/100</f>
        <v>0</v>
      </c>
      <c r="J46" t="s">
        <v>185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x14ac:dyDescent="0.35">
      <c r="A47" s="7" t="s">
        <v>61</v>
      </c>
      <c r="B47" s="7">
        <v>4830</v>
      </c>
      <c r="C47" s="7">
        <v>10170</v>
      </c>
      <c r="D47" s="7">
        <v>18000</v>
      </c>
      <c r="E47" s="7" t="s">
        <v>22</v>
      </c>
      <c r="F47" s="7" t="s">
        <v>7</v>
      </c>
      <c r="G47">
        <f>PnP_EPAPER73_V1_v111_front[[#This Row],[Column2]]/100</f>
        <v>48.3</v>
      </c>
      <c r="H47">
        <f>PnP_EPAPER73_V1_v111_front[[#This Row],[Column3]]/100</f>
        <v>101.7</v>
      </c>
      <c r="I47">
        <f>PnP_EPAPER73_V1_v111_front[[#This Row],[Column4]]/100</f>
        <v>180</v>
      </c>
      <c r="J47" t="s">
        <v>185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x14ac:dyDescent="0.35">
      <c r="A48" s="7" t="s">
        <v>62</v>
      </c>
      <c r="B48" s="7">
        <v>4830</v>
      </c>
      <c r="C48" s="7">
        <v>10367</v>
      </c>
      <c r="D48" s="7">
        <v>0</v>
      </c>
      <c r="E48" s="7" t="s">
        <v>30</v>
      </c>
      <c r="F48" s="7" t="s">
        <v>7</v>
      </c>
      <c r="G48">
        <f>PnP_EPAPER73_V1_v111_front[[#This Row],[Column2]]/100</f>
        <v>48.3</v>
      </c>
      <c r="H48">
        <f>PnP_EPAPER73_V1_v111_front[[#This Row],[Column3]]/100</f>
        <v>103.67</v>
      </c>
      <c r="I48">
        <f>PnP_EPAPER73_V1_v111_front[[#This Row],[Column4]]/100</f>
        <v>0</v>
      </c>
      <c r="J48" t="s">
        <v>185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x14ac:dyDescent="0.35">
      <c r="A49" s="7" t="s">
        <v>63</v>
      </c>
      <c r="B49" s="7">
        <v>4830</v>
      </c>
      <c r="C49" s="7">
        <v>10560</v>
      </c>
      <c r="D49" s="7">
        <v>0</v>
      </c>
      <c r="E49" s="7" t="s">
        <v>6</v>
      </c>
      <c r="F49" s="7" t="s">
        <v>7</v>
      </c>
      <c r="G49">
        <f>PnP_EPAPER73_V1_v111_front[[#This Row],[Column2]]/100</f>
        <v>48.3</v>
      </c>
      <c r="H49">
        <f>PnP_EPAPER73_V1_v111_front[[#This Row],[Column3]]/100</f>
        <v>105.6</v>
      </c>
      <c r="I49">
        <f>PnP_EPAPER73_V1_v111_front[[#This Row],[Column4]]/100</f>
        <v>0</v>
      </c>
      <c r="J49" t="s">
        <v>185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x14ac:dyDescent="0.35">
      <c r="A50" s="7" t="s">
        <v>64</v>
      </c>
      <c r="B50" s="7">
        <v>11160</v>
      </c>
      <c r="C50" s="9">
        <v>2920</v>
      </c>
      <c r="D50" s="7">
        <v>9000</v>
      </c>
      <c r="E50" s="7" t="s">
        <v>35</v>
      </c>
      <c r="F50" s="7" t="s">
        <v>7</v>
      </c>
      <c r="G50">
        <f>PnP_EPAPER73_V1_v111_front[[#This Row],[Column2]]/100</f>
        <v>111.6</v>
      </c>
      <c r="H50">
        <f>PnP_EPAPER73_V1_v111_front[[#This Row],[Column3]]/100</f>
        <v>29.2</v>
      </c>
      <c r="I50">
        <f>PnP_EPAPER73_V1_v111_front[[#This Row],[Column4]]/100</f>
        <v>90</v>
      </c>
      <c r="J50" t="s">
        <v>185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35">
      <c r="A51" s="7" t="s">
        <v>65</v>
      </c>
      <c r="B51" s="7">
        <v>2010</v>
      </c>
      <c r="C51" s="7">
        <v>8910</v>
      </c>
      <c r="D51" s="7">
        <v>18000</v>
      </c>
      <c r="E51" s="7" t="s">
        <v>66</v>
      </c>
      <c r="F51" s="7" t="s">
        <v>67</v>
      </c>
      <c r="G51">
        <f>PnP_EPAPER73_V1_v111_front[[#This Row],[Column2]]/100</f>
        <v>20.100000000000001</v>
      </c>
      <c r="H51">
        <f>PnP_EPAPER73_V1_v111_front[[#This Row],[Column3]]/100</f>
        <v>89.1</v>
      </c>
      <c r="I51">
        <f>PnP_EPAPER73_V1_v111_front[[#This Row],[Column4]]/100</f>
        <v>180</v>
      </c>
      <c r="J51" t="s">
        <v>185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35">
      <c r="A52" s="7" t="s">
        <v>68</v>
      </c>
      <c r="B52" s="7">
        <v>2340</v>
      </c>
      <c r="C52" s="7">
        <v>7560</v>
      </c>
      <c r="D52" s="7">
        <v>27000</v>
      </c>
      <c r="E52" s="7" t="s">
        <v>69</v>
      </c>
      <c r="F52" s="7" t="s">
        <v>70</v>
      </c>
      <c r="G52">
        <f>PnP_EPAPER73_V1_v111_front[[#This Row],[Column2]]/100</f>
        <v>23.4</v>
      </c>
      <c r="H52">
        <f>PnP_EPAPER73_V1_v111_front[[#This Row],[Column3]]/100</f>
        <v>75.599999999999994</v>
      </c>
      <c r="I52">
        <f>PnP_EPAPER73_V1_v111_front[[#This Row],[Column4]]/100</f>
        <v>270</v>
      </c>
      <c r="J52" t="s">
        <v>185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35">
      <c r="A53" s="10" t="s">
        <v>191</v>
      </c>
      <c r="B53" s="8">
        <v>3260</v>
      </c>
      <c r="C53" s="8">
        <v>10664</v>
      </c>
      <c r="D53" s="8">
        <v>18000</v>
      </c>
      <c r="E53" s="8" t="s">
        <v>192</v>
      </c>
      <c r="F53" s="12" t="s">
        <v>193</v>
      </c>
      <c r="G53">
        <f>PnP_EPAPER73_V1_v111_front[[#This Row],[Column2]]/100</f>
        <v>32.6</v>
      </c>
      <c r="H53">
        <f>PnP_EPAPER73_V1_v111_front[[#This Row],[Column3]]/100</f>
        <v>106.64</v>
      </c>
      <c r="I53">
        <f>PnP_EPAPER73_V1_v111_front[[#This Row],[Column4]]/100</f>
        <v>180</v>
      </c>
      <c r="J53" t="s">
        <v>185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35">
      <c r="A54" s="7" t="s">
        <v>198</v>
      </c>
      <c r="B54" s="7">
        <v>3240</v>
      </c>
      <c r="C54" s="7">
        <v>9315</v>
      </c>
      <c r="D54" s="7">
        <v>27000</v>
      </c>
      <c r="E54" s="7" t="s">
        <v>200</v>
      </c>
      <c r="F54" s="7" t="s">
        <v>201</v>
      </c>
      <c r="G54">
        <f>PnP_EPAPER73_V1_v111_front[[#This Row],[Column2]]/100</f>
        <v>32.4</v>
      </c>
      <c r="H54">
        <f>PnP_EPAPER73_V1_v111_front[[#This Row],[Column3]]/100</f>
        <v>93.15</v>
      </c>
      <c r="I54">
        <f>PnP_EPAPER73_V1_v111_front[[#This Row],[Column4]]/100</f>
        <v>270</v>
      </c>
      <c r="J54" t="s">
        <v>185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35">
      <c r="A55" s="7" t="s">
        <v>72</v>
      </c>
      <c r="B55" s="7">
        <v>2310</v>
      </c>
      <c r="C55" s="7">
        <v>8910</v>
      </c>
      <c r="D55" s="7">
        <v>0</v>
      </c>
      <c r="E55" s="7" t="s">
        <v>66</v>
      </c>
      <c r="F55" s="7" t="s">
        <v>67</v>
      </c>
      <c r="G55">
        <f>PnP_EPAPER73_V1_v111_front[[#This Row],[Column2]]/100</f>
        <v>23.1</v>
      </c>
      <c r="H55">
        <f>PnP_EPAPER73_V1_v111_front[[#This Row],[Column3]]/100</f>
        <v>89.1</v>
      </c>
      <c r="I55">
        <f>PnP_EPAPER73_V1_v111_front[[#This Row],[Column4]]/100</f>
        <v>0</v>
      </c>
      <c r="J55" t="s">
        <v>185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x14ac:dyDescent="0.35">
      <c r="A56" s="7" t="s">
        <v>73</v>
      </c>
      <c r="B56" s="7">
        <v>2780</v>
      </c>
      <c r="C56" s="7">
        <v>10290</v>
      </c>
      <c r="D56" s="7">
        <v>27000</v>
      </c>
      <c r="E56" s="7" t="s">
        <v>66</v>
      </c>
      <c r="F56" s="7" t="s">
        <v>67</v>
      </c>
      <c r="G56">
        <f>PnP_EPAPER73_V1_v111_front[[#This Row],[Column2]]/100</f>
        <v>27.8</v>
      </c>
      <c r="H56">
        <f>PnP_EPAPER73_V1_v111_front[[#This Row],[Column3]]/100</f>
        <v>102.9</v>
      </c>
      <c r="I56">
        <f>PnP_EPAPER73_V1_v111_front[[#This Row],[Column4]]/100</f>
        <v>270</v>
      </c>
      <c r="J56" t="s">
        <v>185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x14ac:dyDescent="0.35">
      <c r="A57" s="7" t="s">
        <v>199</v>
      </c>
      <c r="B57" s="7">
        <v>3430</v>
      </c>
      <c r="C57" s="7">
        <v>9060</v>
      </c>
      <c r="D57" s="7">
        <v>18000</v>
      </c>
      <c r="E57" s="7" t="s">
        <v>200</v>
      </c>
      <c r="F57" s="7" t="s">
        <v>201</v>
      </c>
      <c r="G57">
        <f>PnP_EPAPER73_V1_v111_front[[#This Row],[Column2]]/100</f>
        <v>34.299999999999997</v>
      </c>
      <c r="H57">
        <f>PnP_EPAPER73_V1_v111_front[[#This Row],[Column3]]/100</f>
        <v>90.6</v>
      </c>
      <c r="I57">
        <f>PnP_EPAPER73_V1_v111_front[[#This Row],[Column4]]/100</f>
        <v>180</v>
      </c>
      <c r="J57" t="s">
        <v>185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35">
      <c r="A58" s="7" t="s">
        <v>74</v>
      </c>
      <c r="B58" s="9">
        <v>10381</v>
      </c>
      <c r="C58" s="9">
        <v>3700</v>
      </c>
      <c r="D58" s="7">
        <v>27000</v>
      </c>
      <c r="E58" s="7" t="s">
        <v>71</v>
      </c>
      <c r="F58" s="7" t="s">
        <v>75</v>
      </c>
      <c r="G58">
        <f>PnP_EPAPER73_V1_v111_front[[#This Row],[Column2]]/100</f>
        <v>103.81</v>
      </c>
      <c r="H58">
        <f>PnP_EPAPER73_V1_v111_front[[#This Row],[Column3]]/100</f>
        <v>37</v>
      </c>
      <c r="I58">
        <f>PnP_EPAPER73_V1_v111_front[[#This Row],[Column4]]/100</f>
        <v>270</v>
      </c>
      <c r="J58" t="s">
        <v>185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x14ac:dyDescent="0.35">
      <c r="A59" s="7" t="s">
        <v>76</v>
      </c>
      <c r="B59" s="8">
        <v>8800</v>
      </c>
      <c r="C59" s="8">
        <v>3600</v>
      </c>
      <c r="D59" s="7">
        <v>9000</v>
      </c>
      <c r="E59" s="7" t="s">
        <v>71</v>
      </c>
      <c r="F59" s="7" t="s">
        <v>75</v>
      </c>
      <c r="G59">
        <f>PnP_EPAPER73_V1_v111_front[[#This Row],[Column2]]/100</f>
        <v>88</v>
      </c>
      <c r="H59">
        <f>PnP_EPAPER73_V1_v111_front[[#This Row],[Column3]]/100</f>
        <v>36</v>
      </c>
      <c r="I59">
        <f>PnP_EPAPER73_V1_v111_front[[#This Row],[Column4]]/100</f>
        <v>90</v>
      </c>
      <c r="J59" t="s">
        <v>185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35">
      <c r="A60" s="7" t="s">
        <v>77</v>
      </c>
      <c r="B60" s="9">
        <v>9360</v>
      </c>
      <c r="C60" s="9">
        <v>3950</v>
      </c>
      <c r="D60" s="7">
        <v>0</v>
      </c>
      <c r="E60" s="7" t="s">
        <v>71</v>
      </c>
      <c r="F60" s="7" t="s">
        <v>75</v>
      </c>
      <c r="G60">
        <f>PnP_EPAPER73_V1_v111_front[[#This Row],[Column2]]/100</f>
        <v>93.6</v>
      </c>
      <c r="H60">
        <f>PnP_EPAPER73_V1_v111_front[[#This Row],[Column3]]/100</f>
        <v>39.5</v>
      </c>
      <c r="I60">
        <f>PnP_EPAPER73_V1_v111_front[[#This Row],[Column4]]/100</f>
        <v>0</v>
      </c>
      <c r="J60" t="s">
        <v>185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x14ac:dyDescent="0.35">
      <c r="A61" s="7" t="s">
        <v>78</v>
      </c>
      <c r="B61" s="8">
        <v>9040</v>
      </c>
      <c r="C61" s="8">
        <v>3600</v>
      </c>
      <c r="D61" s="7">
        <v>9000</v>
      </c>
      <c r="E61" s="7" t="s">
        <v>71</v>
      </c>
      <c r="F61" s="7" t="s">
        <v>75</v>
      </c>
      <c r="G61">
        <f>PnP_EPAPER73_V1_v111_front[[#This Row],[Column2]]/100</f>
        <v>90.4</v>
      </c>
      <c r="H61">
        <f>PnP_EPAPER73_V1_v111_front[[#This Row],[Column3]]/100</f>
        <v>36</v>
      </c>
      <c r="I61">
        <f>PnP_EPAPER73_V1_v111_front[[#This Row],[Column4]]/100</f>
        <v>90</v>
      </c>
      <c r="J61" t="s">
        <v>185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x14ac:dyDescent="0.35">
      <c r="A62" s="7" t="s">
        <v>79</v>
      </c>
      <c r="B62" s="9">
        <v>6583</v>
      </c>
      <c r="C62" s="7">
        <v>3330</v>
      </c>
      <c r="D62" s="7">
        <v>9000</v>
      </c>
      <c r="E62" s="7" t="s">
        <v>80</v>
      </c>
      <c r="F62" s="7" t="s">
        <v>81</v>
      </c>
      <c r="G62">
        <f>PnP_EPAPER73_V1_v111_front[[#This Row],[Column2]]/100</f>
        <v>65.83</v>
      </c>
      <c r="H62">
        <f>PnP_EPAPER73_V1_v111_front[[#This Row],[Column3]]/100</f>
        <v>33.299999999999997</v>
      </c>
      <c r="I62">
        <f>PnP_EPAPER73_V1_v111_front[[#This Row],[Column4]]/100</f>
        <v>90</v>
      </c>
      <c r="J62" t="s">
        <v>185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x14ac:dyDescent="0.35">
      <c r="A63" s="7" t="s">
        <v>82</v>
      </c>
      <c r="B63" s="8">
        <v>4290</v>
      </c>
      <c r="C63" s="7">
        <v>3330</v>
      </c>
      <c r="D63" s="7">
        <v>9000</v>
      </c>
      <c r="E63" s="7" t="s">
        <v>80</v>
      </c>
      <c r="F63" s="7" t="s">
        <v>81</v>
      </c>
      <c r="G63">
        <f>PnP_EPAPER73_V1_v111_front[[#This Row],[Column2]]/100</f>
        <v>42.9</v>
      </c>
      <c r="H63">
        <f>PnP_EPAPER73_V1_v111_front[[#This Row],[Column3]]/100</f>
        <v>33.299999999999997</v>
      </c>
      <c r="I63">
        <f>PnP_EPAPER73_V1_v111_front[[#This Row],[Column4]]/100</f>
        <v>90</v>
      </c>
      <c r="J63" t="s">
        <v>185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35">
      <c r="A64" s="7" t="s">
        <v>83</v>
      </c>
      <c r="B64" s="7">
        <v>5740</v>
      </c>
      <c r="C64" s="7">
        <v>8360</v>
      </c>
      <c r="D64" s="7">
        <v>27000</v>
      </c>
      <c r="E64" s="7" t="s">
        <v>84</v>
      </c>
      <c r="F64" s="7" t="s">
        <v>85</v>
      </c>
      <c r="G64">
        <f>PnP_EPAPER73_V1_v111_front[[#This Row],[Column2]]/100</f>
        <v>57.4</v>
      </c>
      <c r="H64">
        <f>PnP_EPAPER73_V1_v111_front[[#This Row],[Column3]]/100</f>
        <v>83.6</v>
      </c>
      <c r="I64" s="2">
        <f>PnP_EPAPER73_V1_v111_front[[#This Row],[Column4]]/100</f>
        <v>270</v>
      </c>
      <c r="J64" t="s">
        <v>185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35">
      <c r="A65" s="7" t="s">
        <v>86</v>
      </c>
      <c r="B65" s="7">
        <v>7370</v>
      </c>
      <c r="C65" s="7">
        <v>10270</v>
      </c>
      <c r="D65" s="7">
        <v>9000</v>
      </c>
      <c r="E65" s="7" t="s">
        <v>87</v>
      </c>
      <c r="F65" s="7" t="s">
        <v>88</v>
      </c>
      <c r="G65">
        <f>PnP_EPAPER73_V1_v111_front[[#This Row],[Column2]]/100</f>
        <v>73.7</v>
      </c>
      <c r="H65">
        <f>PnP_EPAPER73_V1_v111_front[[#This Row],[Column3]]/100</f>
        <v>102.7</v>
      </c>
      <c r="I65">
        <f>PnP_EPAPER73_V1_v111_front[[#This Row],[Column4]]/100</f>
        <v>90</v>
      </c>
      <c r="J65" t="s">
        <v>185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35">
      <c r="A66" s="7" t="s">
        <v>90</v>
      </c>
      <c r="B66" s="7">
        <v>2620</v>
      </c>
      <c r="C66" s="7">
        <v>8570</v>
      </c>
      <c r="D66" s="7">
        <v>9000</v>
      </c>
      <c r="E66" s="7" t="s">
        <v>91</v>
      </c>
      <c r="F66" s="7" t="s">
        <v>92</v>
      </c>
      <c r="G66">
        <f>PnP_EPAPER73_V1_v111_front[[#This Row],[Column2]]/100</f>
        <v>26.2</v>
      </c>
      <c r="H66">
        <f>PnP_EPAPER73_V1_v111_front[[#This Row],[Column3]]/100</f>
        <v>85.7</v>
      </c>
      <c r="I66">
        <f>PnP_EPAPER73_V1_v111_front[[#This Row],[Column4]]/100</f>
        <v>90</v>
      </c>
      <c r="J66" t="s">
        <v>185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x14ac:dyDescent="0.35">
      <c r="A67" s="7" t="s">
        <v>194</v>
      </c>
      <c r="B67" s="7">
        <v>3610</v>
      </c>
      <c r="C67" s="7">
        <v>7240</v>
      </c>
      <c r="D67" s="7">
        <v>9000</v>
      </c>
      <c r="E67" s="7" t="s">
        <v>195</v>
      </c>
      <c r="F67" s="7" t="s">
        <v>196</v>
      </c>
      <c r="G67">
        <f>PnP_EPAPER73_V1_v111_front[[#This Row],[Column2]]/100</f>
        <v>36.1</v>
      </c>
      <c r="H67">
        <f>PnP_EPAPER73_V1_v111_front[[#This Row],[Column3]]/100</f>
        <v>72.400000000000006</v>
      </c>
      <c r="I67" s="2">
        <f>PnP_EPAPER73_V1_v111_front[[#This Row],[Column4]]/100</f>
        <v>90</v>
      </c>
      <c r="J67" t="s">
        <v>185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35">
      <c r="A68" s="7" t="s">
        <v>93</v>
      </c>
      <c r="B68" s="7">
        <v>2800</v>
      </c>
      <c r="C68" s="7">
        <v>7300</v>
      </c>
      <c r="D68" s="7">
        <v>9000</v>
      </c>
      <c r="E68" s="7" t="s">
        <v>94</v>
      </c>
      <c r="F68" s="7" t="s">
        <v>95</v>
      </c>
      <c r="G68">
        <f>PnP_EPAPER73_V1_v111_front[[#This Row],[Column2]]/100</f>
        <v>28</v>
      </c>
      <c r="H68">
        <f>PnP_EPAPER73_V1_v111_front[[#This Row],[Column3]]/100</f>
        <v>73</v>
      </c>
      <c r="I68" s="2">
        <f>PnP_EPAPER73_V1_v111_front[[#This Row],[Column4]]/100</f>
        <v>90</v>
      </c>
      <c r="J68" t="s">
        <v>185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35">
      <c r="A69" s="7" t="s">
        <v>96</v>
      </c>
      <c r="B69" s="7">
        <v>2239</v>
      </c>
      <c r="C69" s="7">
        <v>9571</v>
      </c>
      <c r="D69" s="7">
        <v>9000</v>
      </c>
      <c r="E69" s="7" t="s">
        <v>97</v>
      </c>
      <c r="F69" s="7" t="s">
        <v>98</v>
      </c>
      <c r="G69">
        <f>PnP_EPAPER73_V1_v111_front[[#This Row],[Column2]]/100</f>
        <v>22.39</v>
      </c>
      <c r="H69">
        <f>PnP_EPAPER73_V1_v111_front[[#This Row],[Column3]]/100</f>
        <v>95.71</v>
      </c>
      <c r="I69">
        <f>PnP_EPAPER73_V1_v111_front[[#This Row],[Column4]]/100</f>
        <v>90</v>
      </c>
      <c r="J69" t="s">
        <v>185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x14ac:dyDescent="0.35">
      <c r="A70" s="7" t="s">
        <v>202</v>
      </c>
      <c r="B70" s="7">
        <v>9650</v>
      </c>
      <c r="C70" s="9">
        <v>2168</v>
      </c>
      <c r="D70" s="7">
        <v>0</v>
      </c>
      <c r="E70" s="7" t="s">
        <v>203</v>
      </c>
      <c r="F70" s="7" t="s">
        <v>204</v>
      </c>
      <c r="G70">
        <f>PnP_EPAPER73_V1_v111_front[[#This Row],[Column2]]/100</f>
        <v>96.5</v>
      </c>
      <c r="H70">
        <f>PnP_EPAPER73_V1_v111_front[[#This Row],[Column3]]/100</f>
        <v>21.68</v>
      </c>
      <c r="I70">
        <f>PnP_EPAPER73_V1_v111_front[[#This Row],[Column4]]/100</f>
        <v>0</v>
      </c>
      <c r="J70" t="s">
        <v>185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x14ac:dyDescent="0.35">
      <c r="A71" s="7" t="s">
        <v>205</v>
      </c>
      <c r="B71" s="8">
        <v>11570</v>
      </c>
      <c r="C71" s="8">
        <v>3290</v>
      </c>
      <c r="D71" s="9">
        <v>9000</v>
      </c>
      <c r="E71" s="7" t="s">
        <v>206</v>
      </c>
      <c r="F71" s="7" t="s">
        <v>207</v>
      </c>
      <c r="G71">
        <f>PnP_EPAPER73_V1_v111_front[[#This Row],[Column2]]/100</f>
        <v>115.7</v>
      </c>
      <c r="H71">
        <f>PnP_EPAPER73_V1_v111_front[[#This Row],[Column3]]/100</f>
        <v>32.9</v>
      </c>
      <c r="I71">
        <f>PnP_EPAPER73_V1_v111_front[[#This Row],[Column4]]/100</f>
        <v>90</v>
      </c>
      <c r="J71" t="s">
        <v>185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x14ac:dyDescent="0.35">
      <c r="A72" s="7" t="s">
        <v>208</v>
      </c>
      <c r="B72" s="9">
        <v>10750</v>
      </c>
      <c r="C72" s="9">
        <v>3900</v>
      </c>
      <c r="D72" s="7">
        <v>27000</v>
      </c>
      <c r="E72" s="7" t="s">
        <v>206</v>
      </c>
      <c r="F72" s="7" t="s">
        <v>207</v>
      </c>
      <c r="G72">
        <f>PnP_EPAPER73_V1_v111_front[[#This Row],[Column2]]/100</f>
        <v>107.5</v>
      </c>
      <c r="H72">
        <f>PnP_EPAPER73_V1_v111_front[[#This Row],[Column3]]/100</f>
        <v>39</v>
      </c>
      <c r="I72">
        <f>PnP_EPAPER73_V1_v111_front[[#This Row],[Column4]]/100</f>
        <v>270</v>
      </c>
      <c r="J72" t="s">
        <v>185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x14ac:dyDescent="0.35">
      <c r="A73" s="7" t="s">
        <v>99</v>
      </c>
      <c r="B73" s="8">
        <v>3200</v>
      </c>
      <c r="C73" s="8">
        <v>10310</v>
      </c>
      <c r="D73" s="7">
        <v>18000</v>
      </c>
      <c r="E73" s="7" t="s">
        <v>100</v>
      </c>
      <c r="F73" s="7" t="s">
        <v>101</v>
      </c>
      <c r="G73">
        <f>PnP_EPAPER73_V1_v111_front[[#This Row],[Column2]]/100</f>
        <v>32</v>
      </c>
      <c r="H73">
        <f>PnP_EPAPER73_V1_v111_front[[#This Row],[Column3]]/100</f>
        <v>103.1</v>
      </c>
      <c r="I73">
        <f>PnP_EPAPER73_V1_v111_front[[#This Row],[Column4]]/100</f>
        <v>180</v>
      </c>
      <c r="J73" t="s">
        <v>185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x14ac:dyDescent="0.35">
      <c r="A74" s="7" t="s">
        <v>209</v>
      </c>
      <c r="B74" s="7">
        <v>2120</v>
      </c>
      <c r="C74" s="7">
        <v>7080</v>
      </c>
      <c r="D74" s="7">
        <v>9000</v>
      </c>
      <c r="E74" s="7" t="s">
        <v>210</v>
      </c>
      <c r="F74" s="7" t="s">
        <v>211</v>
      </c>
      <c r="G74">
        <f>PnP_EPAPER73_V1_v111_front[[#This Row],[Column2]]/100</f>
        <v>21.2</v>
      </c>
      <c r="H74">
        <f>PnP_EPAPER73_V1_v111_front[[#This Row],[Column3]]/100</f>
        <v>70.8</v>
      </c>
      <c r="I74">
        <f>PnP_EPAPER73_V1_v111_front[[#This Row],[Column4]]/100</f>
        <v>90</v>
      </c>
      <c r="J74" t="s">
        <v>185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35">
      <c r="A75" s="7" t="s">
        <v>102</v>
      </c>
      <c r="B75" s="7">
        <v>7260</v>
      </c>
      <c r="C75" s="7">
        <v>9340</v>
      </c>
      <c r="D75" s="7">
        <v>18000</v>
      </c>
      <c r="E75" s="7" t="s">
        <v>103</v>
      </c>
      <c r="F75" s="7" t="s">
        <v>104</v>
      </c>
      <c r="G75">
        <f>PnP_EPAPER73_V1_v111_front[[#This Row],[Column2]]/100</f>
        <v>72.599999999999994</v>
      </c>
      <c r="H75">
        <f>PnP_EPAPER73_V1_v111_front[[#This Row],[Column3]]/100</f>
        <v>93.4</v>
      </c>
      <c r="I75" s="2">
        <v>0</v>
      </c>
      <c r="J75" t="s">
        <v>185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x14ac:dyDescent="0.35">
      <c r="A76" s="7" t="s">
        <v>105</v>
      </c>
      <c r="B76" s="7">
        <v>11200</v>
      </c>
      <c r="C76" s="8">
        <v>3780</v>
      </c>
      <c r="D76" s="7">
        <v>9000</v>
      </c>
      <c r="E76" s="7" t="s">
        <v>106</v>
      </c>
      <c r="F76" s="7" t="s">
        <v>89</v>
      </c>
      <c r="G76">
        <f>PnP_EPAPER73_V1_v111_front[[#This Row],[Column2]]/100</f>
        <v>112</v>
      </c>
      <c r="H76">
        <f>PnP_EPAPER73_V1_v111_front[[#This Row],[Column3]]/100</f>
        <v>37.799999999999997</v>
      </c>
      <c r="I76" s="2">
        <v>270</v>
      </c>
      <c r="J76" t="s">
        <v>185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x14ac:dyDescent="0.35">
      <c r="A77" s="7" t="s">
        <v>107</v>
      </c>
      <c r="B77" s="7">
        <v>11100</v>
      </c>
      <c r="C77" s="9">
        <v>3260</v>
      </c>
      <c r="D77" s="7">
        <v>0</v>
      </c>
      <c r="E77" s="7" t="s">
        <v>108</v>
      </c>
      <c r="F77" s="7" t="s">
        <v>109</v>
      </c>
      <c r="G77">
        <f>PnP_EPAPER73_V1_v111_front[[#This Row],[Column2]]/100</f>
        <v>111</v>
      </c>
      <c r="H77">
        <f>PnP_EPAPER73_V1_v111_front[[#This Row],[Column3]]/100</f>
        <v>32.6</v>
      </c>
      <c r="I77" s="2">
        <v>180</v>
      </c>
      <c r="J77" t="s">
        <v>185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x14ac:dyDescent="0.35">
      <c r="A78" s="7" t="s">
        <v>110</v>
      </c>
      <c r="B78" s="8">
        <v>3550</v>
      </c>
      <c r="C78" s="8">
        <v>9450</v>
      </c>
      <c r="D78" s="7">
        <v>27000</v>
      </c>
      <c r="E78" s="7" t="s">
        <v>106</v>
      </c>
      <c r="F78" s="7" t="s">
        <v>89</v>
      </c>
      <c r="G78">
        <f>PnP_EPAPER73_V1_v111_front[[#This Row],[Column2]]/100</f>
        <v>35.5</v>
      </c>
      <c r="H78">
        <f>PnP_EPAPER73_V1_v111_front[[#This Row],[Column3]]/100</f>
        <v>94.5</v>
      </c>
      <c r="I78" s="2">
        <f>PnP_EPAPER73_V1_v111_front[[#This Row],[Column4]]/100</f>
        <v>270</v>
      </c>
      <c r="J78" t="s">
        <v>185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x14ac:dyDescent="0.35">
      <c r="A79" s="7" t="s">
        <v>112</v>
      </c>
      <c r="B79" s="8">
        <v>2020</v>
      </c>
      <c r="C79" s="8">
        <v>10250</v>
      </c>
      <c r="D79" s="7">
        <v>9000</v>
      </c>
      <c r="E79" s="7" t="s">
        <v>113</v>
      </c>
      <c r="F79" s="7" t="s">
        <v>111</v>
      </c>
      <c r="G79">
        <f>PnP_EPAPER73_V1_v111_front[[#This Row],[Column2]]/100</f>
        <v>20.2</v>
      </c>
      <c r="H79">
        <f>PnP_EPAPER73_V1_v111_front[[#This Row],[Column3]]/100</f>
        <v>102.5</v>
      </c>
      <c r="I79" s="2">
        <f>PnP_EPAPER73_V1_v111_front[[#This Row],[Column4]]/100</f>
        <v>90</v>
      </c>
      <c r="J79" t="s">
        <v>185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x14ac:dyDescent="0.35">
      <c r="A80" s="7" t="s">
        <v>114</v>
      </c>
      <c r="B80" s="7">
        <v>4860</v>
      </c>
      <c r="C80" s="7">
        <v>9090</v>
      </c>
      <c r="D80" s="7">
        <v>9000</v>
      </c>
      <c r="E80" s="7" t="s">
        <v>113</v>
      </c>
      <c r="F80" s="7" t="s">
        <v>111</v>
      </c>
      <c r="G80">
        <f>PnP_EPAPER73_V1_v111_front[[#This Row],[Column2]]/100</f>
        <v>48.6</v>
      </c>
      <c r="H80">
        <f>PnP_EPAPER73_V1_v111_front[[#This Row],[Column3]]/100</f>
        <v>90.9</v>
      </c>
      <c r="I80">
        <f>PnP_EPAPER73_V1_v111_front[[#This Row],[Column4]]/100</f>
        <v>90</v>
      </c>
      <c r="J80" t="s">
        <v>185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x14ac:dyDescent="0.35">
      <c r="A81" s="7" t="s">
        <v>115</v>
      </c>
      <c r="B81" s="8">
        <v>2030</v>
      </c>
      <c r="C81" s="8">
        <v>10660</v>
      </c>
      <c r="D81" s="7">
        <v>9000</v>
      </c>
      <c r="E81" s="7" t="s">
        <v>113</v>
      </c>
      <c r="F81" s="7" t="s">
        <v>111</v>
      </c>
      <c r="G81">
        <f>PnP_EPAPER73_V1_v111_front[[#This Row],[Column2]]/100</f>
        <v>20.3</v>
      </c>
      <c r="H81">
        <f>PnP_EPAPER73_V1_v111_front[[#This Row],[Column3]]/100</f>
        <v>106.6</v>
      </c>
      <c r="I81" s="2">
        <f>PnP_EPAPER73_V1_v111_front[[#This Row],[Column4]]/100</f>
        <v>90</v>
      </c>
      <c r="J81" t="s">
        <v>185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x14ac:dyDescent="0.35">
      <c r="A82" s="7" t="s">
        <v>116</v>
      </c>
      <c r="B82" s="7">
        <v>6110</v>
      </c>
      <c r="C82" s="7">
        <v>9515</v>
      </c>
      <c r="D82" s="7">
        <v>9000</v>
      </c>
      <c r="E82" s="7" t="s">
        <v>113</v>
      </c>
      <c r="F82" s="7" t="s">
        <v>111</v>
      </c>
      <c r="G82">
        <f>PnP_EPAPER73_V1_v111_front[[#This Row],[Column2]]/100</f>
        <v>61.1</v>
      </c>
      <c r="H82">
        <f>PnP_EPAPER73_V1_v111_front[[#This Row],[Column3]]/100</f>
        <v>95.15</v>
      </c>
      <c r="I82">
        <f>PnP_EPAPER73_V1_v111_front[[#This Row],[Column4]]/100</f>
        <v>90</v>
      </c>
      <c r="J82" t="s">
        <v>185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x14ac:dyDescent="0.35">
      <c r="A83" s="7" t="s">
        <v>117</v>
      </c>
      <c r="B83" s="7">
        <v>6210</v>
      </c>
      <c r="C83" s="7">
        <v>9516</v>
      </c>
      <c r="D83" s="7">
        <v>9000</v>
      </c>
      <c r="E83" s="7" t="s">
        <v>113</v>
      </c>
      <c r="F83" s="7" t="s">
        <v>111</v>
      </c>
      <c r="G83">
        <f>PnP_EPAPER73_V1_v111_front[[#This Row],[Column2]]/100</f>
        <v>62.1</v>
      </c>
      <c r="H83">
        <f>PnP_EPAPER73_V1_v111_front[[#This Row],[Column3]]/100</f>
        <v>95.16</v>
      </c>
      <c r="I83">
        <f>PnP_EPAPER73_V1_v111_front[[#This Row],[Column4]]/100</f>
        <v>90</v>
      </c>
      <c r="J83" t="s">
        <v>185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x14ac:dyDescent="0.35">
      <c r="A84" s="7" t="s">
        <v>118</v>
      </c>
      <c r="B84" s="7">
        <v>3060</v>
      </c>
      <c r="C84" s="9">
        <v>9100</v>
      </c>
      <c r="D84" s="7">
        <v>9000</v>
      </c>
      <c r="E84" s="7" t="s">
        <v>113</v>
      </c>
      <c r="F84" s="7" t="s">
        <v>111</v>
      </c>
      <c r="G84">
        <f>PnP_EPAPER73_V1_v111_front[[#This Row],[Column2]]/100</f>
        <v>30.6</v>
      </c>
      <c r="H84">
        <f>PnP_EPAPER73_V1_v111_front[[#This Row],[Column3]]/100</f>
        <v>91</v>
      </c>
      <c r="I84">
        <f>PnP_EPAPER73_V1_v111_front[[#This Row],[Column4]]/100</f>
        <v>90</v>
      </c>
      <c r="J84" t="s">
        <v>185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x14ac:dyDescent="0.35">
      <c r="A85" s="7" t="s">
        <v>119</v>
      </c>
      <c r="B85" s="7">
        <v>10670</v>
      </c>
      <c r="C85" s="8">
        <v>3500</v>
      </c>
      <c r="D85" s="7">
        <v>18000</v>
      </c>
      <c r="E85" s="7" t="s">
        <v>120</v>
      </c>
      <c r="F85" s="7" t="s">
        <v>121</v>
      </c>
      <c r="G85">
        <f>PnP_EPAPER73_V1_v111_front[[#This Row],[Column2]]/100</f>
        <v>106.7</v>
      </c>
      <c r="H85">
        <f>PnP_EPAPER73_V1_v111_front[[#This Row],[Column3]]/100</f>
        <v>35</v>
      </c>
      <c r="I85">
        <f>PnP_EPAPER73_V1_v111_front[[#This Row],[Column4]]/100</f>
        <v>180</v>
      </c>
      <c r="J85" t="s">
        <v>185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x14ac:dyDescent="0.35">
      <c r="A86" s="7" t="s">
        <v>122</v>
      </c>
      <c r="B86" s="7">
        <v>11030</v>
      </c>
      <c r="C86" s="9">
        <v>3480</v>
      </c>
      <c r="D86" s="7">
        <v>0</v>
      </c>
      <c r="E86" s="7" t="s">
        <v>123</v>
      </c>
      <c r="F86" s="7" t="s">
        <v>111</v>
      </c>
      <c r="G86">
        <f>PnP_EPAPER73_V1_v111_front[[#This Row],[Column2]]/100</f>
        <v>110.3</v>
      </c>
      <c r="H86">
        <f>PnP_EPAPER73_V1_v111_front[[#This Row],[Column3]]/100</f>
        <v>34.799999999999997</v>
      </c>
      <c r="I86">
        <f>PnP_EPAPER73_V1_v111_front[[#This Row],[Column4]]/100</f>
        <v>0</v>
      </c>
      <c r="J86" t="s">
        <v>185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x14ac:dyDescent="0.35">
      <c r="A87" s="7" t="s">
        <v>124</v>
      </c>
      <c r="B87" s="7">
        <v>10720</v>
      </c>
      <c r="C87" s="8">
        <v>3342</v>
      </c>
      <c r="D87" s="7">
        <v>18000</v>
      </c>
      <c r="E87" s="7" t="s">
        <v>123</v>
      </c>
      <c r="F87" s="7" t="s">
        <v>111</v>
      </c>
      <c r="G87">
        <f>PnP_EPAPER73_V1_v111_front[[#This Row],[Column2]]/100</f>
        <v>107.2</v>
      </c>
      <c r="H87">
        <f>PnP_EPAPER73_V1_v111_front[[#This Row],[Column3]]/100</f>
        <v>33.42</v>
      </c>
      <c r="I87">
        <f>PnP_EPAPER73_V1_v111_front[[#This Row],[Column4]]/100</f>
        <v>180</v>
      </c>
      <c r="J87" t="s">
        <v>185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x14ac:dyDescent="0.35">
      <c r="A88" s="7" t="s">
        <v>125</v>
      </c>
      <c r="B88" s="7">
        <v>10600</v>
      </c>
      <c r="C88" s="9">
        <v>3180</v>
      </c>
      <c r="D88" s="7">
        <v>18000</v>
      </c>
      <c r="E88" s="7" t="s">
        <v>120</v>
      </c>
      <c r="F88" s="7" t="s">
        <v>121</v>
      </c>
      <c r="G88">
        <f>PnP_EPAPER73_V1_v111_front[[#This Row],[Column2]]/100</f>
        <v>106</v>
      </c>
      <c r="H88">
        <f>PnP_EPAPER73_V1_v111_front[[#This Row],[Column3]]/100</f>
        <v>31.8</v>
      </c>
      <c r="I88">
        <f>PnP_EPAPER73_V1_v111_front[[#This Row],[Column4]]/100</f>
        <v>180</v>
      </c>
      <c r="J88" t="s">
        <v>185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x14ac:dyDescent="0.35">
      <c r="A89" s="7" t="s">
        <v>126</v>
      </c>
      <c r="B89" s="7">
        <v>7890</v>
      </c>
      <c r="C89" s="7">
        <v>10170</v>
      </c>
      <c r="D89" s="7">
        <v>0</v>
      </c>
      <c r="E89" s="7" t="s">
        <v>127</v>
      </c>
      <c r="F89" s="7" t="s">
        <v>111</v>
      </c>
      <c r="G89">
        <f>PnP_EPAPER73_V1_v111_front[[#This Row],[Column2]]/100</f>
        <v>78.900000000000006</v>
      </c>
      <c r="H89">
        <f>PnP_EPAPER73_V1_v111_front[[#This Row],[Column3]]/100</f>
        <v>101.7</v>
      </c>
      <c r="I89">
        <f>PnP_EPAPER73_V1_v111_front[[#This Row],[Column4]]/100</f>
        <v>0</v>
      </c>
      <c r="J89" t="s">
        <v>185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x14ac:dyDescent="0.35">
      <c r="A90" s="7" t="s">
        <v>197</v>
      </c>
      <c r="B90" s="7">
        <v>3590</v>
      </c>
      <c r="C90" s="7">
        <v>7560</v>
      </c>
      <c r="D90" s="7">
        <v>18000</v>
      </c>
      <c r="E90" s="7" t="s">
        <v>131</v>
      </c>
      <c r="F90" s="7" t="s">
        <v>111</v>
      </c>
      <c r="G90">
        <f>PnP_EPAPER73_V1_v111_front[[#This Row],[Column2]]/100</f>
        <v>35.9</v>
      </c>
      <c r="H90">
        <f>PnP_EPAPER73_V1_v111_front[[#This Row],[Column3]]/100</f>
        <v>75.599999999999994</v>
      </c>
      <c r="I90">
        <f>PnP_EPAPER73_V1_v111_front[[#This Row],[Column4]]/100</f>
        <v>180</v>
      </c>
      <c r="J90" t="s">
        <v>185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35">
      <c r="A91" s="7" t="s">
        <v>128</v>
      </c>
      <c r="B91" s="7">
        <v>3550</v>
      </c>
      <c r="C91" s="7">
        <v>10090</v>
      </c>
      <c r="D91" s="7">
        <v>9000</v>
      </c>
      <c r="E91" s="7" t="s">
        <v>129</v>
      </c>
      <c r="F91" s="7" t="s">
        <v>111</v>
      </c>
      <c r="G91">
        <f>PnP_EPAPER73_V1_v111_front[[#This Row],[Column2]]/100</f>
        <v>35.5</v>
      </c>
      <c r="H91">
        <f>PnP_EPAPER73_V1_v111_front[[#This Row],[Column3]]/100</f>
        <v>100.9</v>
      </c>
      <c r="I91">
        <f>PnP_EPAPER73_V1_v111_front[[#This Row],[Column4]]/100</f>
        <v>90</v>
      </c>
      <c r="J91" t="s">
        <v>185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x14ac:dyDescent="0.35">
      <c r="A92" s="7" t="s">
        <v>130</v>
      </c>
      <c r="B92" s="7">
        <v>3550</v>
      </c>
      <c r="C92" s="7">
        <v>9900</v>
      </c>
      <c r="D92" s="7">
        <v>9000</v>
      </c>
      <c r="E92" s="7" t="s">
        <v>131</v>
      </c>
      <c r="F92" s="7" t="s">
        <v>111</v>
      </c>
      <c r="G92">
        <f>PnP_EPAPER73_V1_v111_front[[#This Row],[Column2]]/100</f>
        <v>35.5</v>
      </c>
      <c r="H92">
        <f>PnP_EPAPER73_V1_v111_front[[#This Row],[Column3]]/100</f>
        <v>99</v>
      </c>
      <c r="I92">
        <f>PnP_EPAPER73_V1_v111_front[[#This Row],[Column4]]/100</f>
        <v>90</v>
      </c>
      <c r="J92" t="s">
        <v>185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x14ac:dyDescent="0.35">
      <c r="A93" s="7" t="s">
        <v>132</v>
      </c>
      <c r="B93" s="7">
        <v>2650</v>
      </c>
      <c r="C93" s="7">
        <v>8150</v>
      </c>
      <c r="D93" s="7">
        <v>9000</v>
      </c>
      <c r="E93" s="7" t="s">
        <v>187</v>
      </c>
      <c r="F93" s="7" t="s">
        <v>188</v>
      </c>
      <c r="G93">
        <f>PnP_EPAPER73_V1_v111_front[[#This Row],[Column2]]/100</f>
        <v>26.5</v>
      </c>
      <c r="H93">
        <f>PnP_EPAPER73_V1_v111_front[[#This Row],[Column3]]/100</f>
        <v>81.5</v>
      </c>
      <c r="I93">
        <f>PnP_EPAPER73_V1_v111_front[[#This Row],[Column4]]/100</f>
        <v>90</v>
      </c>
      <c r="J93" t="s">
        <v>185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x14ac:dyDescent="0.35">
      <c r="A94" s="7" t="s">
        <v>133</v>
      </c>
      <c r="B94" s="7">
        <v>2520</v>
      </c>
      <c r="C94" s="7">
        <v>8860</v>
      </c>
      <c r="D94" s="7">
        <v>27000</v>
      </c>
      <c r="E94" s="7" t="s">
        <v>134</v>
      </c>
      <c r="F94" s="7" t="s">
        <v>111</v>
      </c>
      <c r="G94">
        <f>PnP_EPAPER73_V1_v111_front[[#This Row],[Column2]]/100</f>
        <v>25.2</v>
      </c>
      <c r="H94">
        <f>PnP_EPAPER73_V1_v111_front[[#This Row],[Column3]]/100</f>
        <v>88.6</v>
      </c>
      <c r="I94">
        <f>PnP_EPAPER73_V1_v111_front[[#This Row],[Column4]]/100</f>
        <v>270</v>
      </c>
      <c r="J94" t="s">
        <v>185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x14ac:dyDescent="0.35">
      <c r="A95" s="7" t="s">
        <v>135</v>
      </c>
      <c r="B95" s="7">
        <v>2610</v>
      </c>
      <c r="C95" s="7">
        <v>8860</v>
      </c>
      <c r="D95" s="7">
        <v>27000</v>
      </c>
      <c r="E95" s="7" t="s">
        <v>136</v>
      </c>
      <c r="F95" s="7" t="s">
        <v>111</v>
      </c>
      <c r="G95">
        <f>PnP_EPAPER73_V1_v111_front[[#This Row],[Column2]]/100</f>
        <v>26.1</v>
      </c>
      <c r="H95">
        <f>PnP_EPAPER73_V1_v111_front[[#This Row],[Column3]]/100</f>
        <v>88.6</v>
      </c>
      <c r="I95">
        <f>PnP_EPAPER73_V1_v111_front[[#This Row],[Column4]]/100</f>
        <v>270</v>
      </c>
      <c r="J95" t="s">
        <v>185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x14ac:dyDescent="0.35">
      <c r="A96" s="7" t="s">
        <v>137</v>
      </c>
      <c r="B96" s="7">
        <v>2420</v>
      </c>
      <c r="C96" s="7">
        <v>8500</v>
      </c>
      <c r="D96" s="7">
        <v>27000</v>
      </c>
      <c r="E96" s="7" t="s">
        <v>113</v>
      </c>
      <c r="F96" s="7" t="s">
        <v>111</v>
      </c>
      <c r="G96">
        <f>PnP_EPAPER73_V1_v111_front[[#This Row],[Column2]]/100</f>
        <v>24.2</v>
      </c>
      <c r="H96">
        <f>PnP_EPAPER73_V1_v111_front[[#This Row],[Column3]]/100</f>
        <v>85</v>
      </c>
      <c r="I96">
        <f>PnP_EPAPER73_V1_v111_front[[#This Row],[Column4]]/100</f>
        <v>270</v>
      </c>
      <c r="J96" t="s">
        <v>185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x14ac:dyDescent="0.35">
      <c r="A97" s="7" t="s">
        <v>138</v>
      </c>
      <c r="B97" s="7">
        <v>2700</v>
      </c>
      <c r="C97" s="7">
        <v>8860</v>
      </c>
      <c r="D97" s="7">
        <v>27000</v>
      </c>
      <c r="E97" s="7" t="s">
        <v>113</v>
      </c>
      <c r="F97" s="7" t="s">
        <v>111</v>
      </c>
      <c r="G97">
        <f>PnP_EPAPER73_V1_v111_front[[#This Row],[Column2]]/100</f>
        <v>27</v>
      </c>
      <c r="H97">
        <f>PnP_EPAPER73_V1_v111_front[[#This Row],[Column3]]/100</f>
        <v>88.6</v>
      </c>
      <c r="I97">
        <f>PnP_EPAPER73_V1_v111_front[[#This Row],[Column4]]/100</f>
        <v>270</v>
      </c>
      <c r="J97" t="s">
        <v>185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x14ac:dyDescent="0.35">
      <c r="A98" s="7" t="s">
        <v>139</v>
      </c>
      <c r="B98" s="7">
        <v>7970</v>
      </c>
      <c r="C98" s="7">
        <v>9880</v>
      </c>
      <c r="D98" s="7">
        <v>18000</v>
      </c>
      <c r="E98" s="7" t="s">
        <v>140</v>
      </c>
      <c r="F98" s="7" t="s">
        <v>111</v>
      </c>
      <c r="G98">
        <f>PnP_EPAPER73_V1_v111_front[[#This Row],[Column2]]/100</f>
        <v>79.7</v>
      </c>
      <c r="H98">
        <f>PnP_EPAPER73_V1_v111_front[[#This Row],[Column3]]/100</f>
        <v>98.8</v>
      </c>
      <c r="I98">
        <f>PnP_EPAPER73_V1_v111_front[[#This Row],[Column4]]/100</f>
        <v>180</v>
      </c>
      <c r="J98" t="s">
        <v>185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x14ac:dyDescent="0.35">
      <c r="A99" s="7" t="s">
        <v>141</v>
      </c>
      <c r="B99" s="7">
        <v>4980</v>
      </c>
      <c r="C99" s="7">
        <v>8380</v>
      </c>
      <c r="D99" s="7">
        <v>0</v>
      </c>
      <c r="E99" s="7" t="s">
        <v>113</v>
      </c>
      <c r="F99" s="7" t="s">
        <v>111</v>
      </c>
      <c r="G99">
        <f>PnP_EPAPER73_V1_v111_front[[#This Row],[Column2]]/100</f>
        <v>49.8</v>
      </c>
      <c r="H99">
        <f>PnP_EPAPER73_V1_v111_front[[#This Row],[Column3]]/100</f>
        <v>83.8</v>
      </c>
      <c r="I99">
        <f>PnP_EPAPER73_V1_v111_front[[#This Row],[Column4]]/100</f>
        <v>0</v>
      </c>
      <c r="J99" t="s">
        <v>185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x14ac:dyDescent="0.35">
      <c r="A100" s="7" t="s">
        <v>142</v>
      </c>
      <c r="B100" s="7">
        <v>10060</v>
      </c>
      <c r="C100" s="9">
        <v>4290</v>
      </c>
      <c r="D100" s="7">
        <v>18000</v>
      </c>
      <c r="E100" s="7" t="s">
        <v>113</v>
      </c>
      <c r="F100" s="7" t="s">
        <v>111</v>
      </c>
      <c r="G100">
        <f>PnP_EPAPER73_V1_v111_front[[#This Row],[Column2]]/100</f>
        <v>100.6</v>
      </c>
      <c r="H100">
        <f>PnP_EPAPER73_V1_v111_front[[#This Row],[Column3]]/100</f>
        <v>42.9</v>
      </c>
      <c r="I100">
        <f>PnP_EPAPER73_V1_v111_front[[#This Row],[Column4]]/100</f>
        <v>180</v>
      </c>
      <c r="J100" t="s">
        <v>185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x14ac:dyDescent="0.35">
      <c r="A101" s="7" t="s">
        <v>143</v>
      </c>
      <c r="B101" s="7">
        <v>5150</v>
      </c>
      <c r="C101" s="7">
        <v>8350</v>
      </c>
      <c r="D101" s="7">
        <v>9000</v>
      </c>
      <c r="E101" s="7" t="s">
        <v>113</v>
      </c>
      <c r="F101" s="7" t="s">
        <v>111</v>
      </c>
      <c r="G101">
        <f>PnP_EPAPER73_V1_v111_front[[#This Row],[Column2]]/100</f>
        <v>51.5</v>
      </c>
      <c r="H101">
        <f>PnP_EPAPER73_V1_v111_front[[#This Row],[Column3]]/100</f>
        <v>83.5</v>
      </c>
      <c r="I101">
        <f>PnP_EPAPER73_V1_v111_front[[#This Row],[Column4]]/100</f>
        <v>90</v>
      </c>
      <c r="J101" t="s">
        <v>185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x14ac:dyDescent="0.35">
      <c r="A102" s="7" t="s">
        <v>144</v>
      </c>
      <c r="B102" s="7">
        <v>6380</v>
      </c>
      <c r="C102" s="7">
        <v>8470</v>
      </c>
      <c r="D102" s="7">
        <v>27000</v>
      </c>
      <c r="E102" s="7" t="s">
        <v>113</v>
      </c>
      <c r="F102" s="7" t="s">
        <v>111</v>
      </c>
      <c r="G102">
        <f>PnP_EPAPER73_V1_v111_front[[#This Row],[Column2]]/100</f>
        <v>63.8</v>
      </c>
      <c r="H102">
        <f>PnP_EPAPER73_V1_v111_front[[#This Row],[Column3]]/100</f>
        <v>84.7</v>
      </c>
      <c r="I102">
        <f>PnP_EPAPER73_V1_v111_front[[#This Row],[Column4]]/100</f>
        <v>270</v>
      </c>
      <c r="J102" t="s">
        <v>185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x14ac:dyDescent="0.35">
      <c r="A103" s="7" t="s">
        <v>145</v>
      </c>
      <c r="B103" s="8">
        <v>3180</v>
      </c>
      <c r="C103" s="8">
        <v>8320</v>
      </c>
      <c r="D103" s="7">
        <v>27000</v>
      </c>
      <c r="E103" s="7" t="s">
        <v>131</v>
      </c>
      <c r="F103" s="7" t="s">
        <v>111</v>
      </c>
      <c r="G103">
        <f>PnP_EPAPER73_V1_v111_front[[#This Row],[Column2]]/100</f>
        <v>31.8</v>
      </c>
      <c r="H103">
        <f>PnP_EPAPER73_V1_v111_front[[#This Row],[Column3]]/100</f>
        <v>83.2</v>
      </c>
      <c r="I103">
        <f>PnP_EPAPER73_V1_v111_front[[#This Row],[Column4]]/100</f>
        <v>270</v>
      </c>
      <c r="J103" t="s">
        <v>185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x14ac:dyDescent="0.35">
      <c r="A104" s="7" t="s">
        <v>146</v>
      </c>
      <c r="B104" s="7">
        <v>7970</v>
      </c>
      <c r="C104" s="7">
        <v>9780</v>
      </c>
      <c r="D104" s="7">
        <v>18000</v>
      </c>
      <c r="E104" s="7" t="s">
        <v>147</v>
      </c>
      <c r="F104" s="7" t="s">
        <v>111</v>
      </c>
      <c r="G104">
        <f>PnP_EPAPER73_V1_v111_front[[#This Row],[Column2]]/100</f>
        <v>79.7</v>
      </c>
      <c r="H104">
        <f>PnP_EPAPER73_V1_v111_front[[#This Row],[Column3]]/100</f>
        <v>97.8</v>
      </c>
      <c r="I104">
        <f>PnP_EPAPER73_V1_v111_front[[#This Row],[Column4]]/100</f>
        <v>180</v>
      </c>
      <c r="J104" t="s">
        <v>185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x14ac:dyDescent="0.35">
      <c r="A105" s="7" t="s">
        <v>148</v>
      </c>
      <c r="B105" s="7">
        <v>3580</v>
      </c>
      <c r="C105" s="8">
        <v>8320</v>
      </c>
      <c r="D105" s="7">
        <v>9000</v>
      </c>
      <c r="E105" s="7" t="s">
        <v>131</v>
      </c>
      <c r="F105" s="7" t="s">
        <v>111</v>
      </c>
      <c r="G105">
        <f>PnP_EPAPER73_V1_v111_front[[#This Row],[Column2]]/100</f>
        <v>35.799999999999997</v>
      </c>
      <c r="H105">
        <f>PnP_EPAPER73_V1_v111_front[[#This Row],[Column3]]/100</f>
        <v>83.2</v>
      </c>
      <c r="I105">
        <f>PnP_EPAPER73_V1_v111_front[[#This Row],[Column4]]/100</f>
        <v>90</v>
      </c>
      <c r="J105" t="s">
        <v>185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x14ac:dyDescent="0.35">
      <c r="A106" s="7" t="s">
        <v>149</v>
      </c>
      <c r="B106" s="7">
        <v>6310</v>
      </c>
      <c r="C106" s="7">
        <v>7340</v>
      </c>
      <c r="D106" s="7">
        <v>0</v>
      </c>
      <c r="E106" s="7" t="s">
        <v>189</v>
      </c>
      <c r="F106" s="7" t="s">
        <v>188</v>
      </c>
      <c r="G106">
        <f>PnP_EPAPER73_V1_v111_front[[#This Row],[Column2]]/100</f>
        <v>63.1</v>
      </c>
      <c r="H106">
        <f>PnP_EPAPER73_V1_v111_front[[#This Row],[Column3]]/100</f>
        <v>73.400000000000006</v>
      </c>
      <c r="I106">
        <f>PnP_EPAPER73_V1_v111_front[[#This Row],[Column4]]/100</f>
        <v>0</v>
      </c>
      <c r="J106" t="s">
        <v>185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x14ac:dyDescent="0.35">
      <c r="A107" s="7" t="s">
        <v>150</v>
      </c>
      <c r="B107" s="7">
        <v>3330</v>
      </c>
      <c r="C107" s="7">
        <v>7270</v>
      </c>
      <c r="D107" s="7">
        <v>0</v>
      </c>
      <c r="E107" s="7" t="s">
        <v>151</v>
      </c>
      <c r="F107" s="7" t="s">
        <v>111</v>
      </c>
      <c r="G107">
        <f>PnP_EPAPER73_V1_v111_front[[#This Row],[Column2]]/100</f>
        <v>33.299999999999997</v>
      </c>
      <c r="H107">
        <f>PnP_EPAPER73_V1_v111_front[[#This Row],[Column3]]/100</f>
        <v>72.7</v>
      </c>
      <c r="I107">
        <f>PnP_EPAPER73_V1_v111_front[[#This Row],[Column4]]/100</f>
        <v>0</v>
      </c>
      <c r="J107" t="s">
        <v>185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x14ac:dyDescent="0.35">
      <c r="A108" s="7" t="s">
        <v>152</v>
      </c>
      <c r="B108" s="7">
        <v>3320</v>
      </c>
      <c r="C108" s="7">
        <v>7480</v>
      </c>
      <c r="D108" s="7">
        <v>27000</v>
      </c>
      <c r="E108" s="7" t="s">
        <v>190</v>
      </c>
      <c r="F108" s="7" t="s">
        <v>188</v>
      </c>
      <c r="G108">
        <f>PnP_EPAPER73_V1_v111_front[[#This Row],[Column2]]/100</f>
        <v>33.200000000000003</v>
      </c>
      <c r="H108">
        <f>PnP_EPAPER73_V1_v111_front[[#This Row],[Column3]]/100</f>
        <v>74.8</v>
      </c>
      <c r="I108">
        <f>PnP_EPAPER73_V1_v111_front[[#This Row],[Column4]]/100</f>
        <v>270</v>
      </c>
      <c r="J108" t="s">
        <v>185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x14ac:dyDescent="0.35">
      <c r="A109" s="7" t="s">
        <v>153</v>
      </c>
      <c r="B109" s="7">
        <v>2350</v>
      </c>
      <c r="C109" s="7">
        <v>10650</v>
      </c>
      <c r="D109" s="7">
        <v>18000</v>
      </c>
      <c r="E109" s="7" t="s">
        <v>154</v>
      </c>
      <c r="F109" s="7" t="s">
        <v>111</v>
      </c>
      <c r="G109">
        <f>PnP_EPAPER73_V1_v111_front[[#This Row],[Column2]]/100</f>
        <v>23.5</v>
      </c>
      <c r="H109">
        <f>PnP_EPAPER73_V1_v111_front[[#This Row],[Column3]]/100</f>
        <v>106.5</v>
      </c>
      <c r="I109">
        <f>PnP_EPAPER73_V1_v111_front[[#This Row],[Column4]]/100</f>
        <v>180</v>
      </c>
      <c r="J109" t="s">
        <v>185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x14ac:dyDescent="0.35">
      <c r="A110" s="7" t="s">
        <v>155</v>
      </c>
      <c r="B110" s="7">
        <v>2400</v>
      </c>
      <c r="C110" s="7">
        <v>10270</v>
      </c>
      <c r="D110" s="7">
        <v>27000</v>
      </c>
      <c r="E110" s="7" t="s">
        <v>154</v>
      </c>
      <c r="F110" s="7" t="s">
        <v>111</v>
      </c>
      <c r="G110">
        <f>PnP_EPAPER73_V1_v111_front[[#This Row],[Column2]]/100</f>
        <v>24</v>
      </c>
      <c r="H110">
        <f>PnP_EPAPER73_V1_v111_front[[#This Row],[Column3]]/100</f>
        <v>102.7</v>
      </c>
      <c r="I110">
        <f>PnP_EPAPER73_V1_v111_front[[#This Row],[Column4]]/100</f>
        <v>270</v>
      </c>
      <c r="J110" t="s">
        <v>185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x14ac:dyDescent="0.35">
      <c r="A111" s="7" t="s">
        <v>156</v>
      </c>
      <c r="B111" s="7">
        <v>3020</v>
      </c>
      <c r="C111" s="7">
        <v>7020</v>
      </c>
      <c r="D111" s="7">
        <v>9000</v>
      </c>
      <c r="E111" s="7" t="s">
        <v>157</v>
      </c>
      <c r="F111" s="7" t="s">
        <v>111</v>
      </c>
      <c r="G111">
        <f>PnP_EPAPER73_V1_v111_front[[#This Row],[Column2]]/100</f>
        <v>30.2</v>
      </c>
      <c r="H111">
        <f>PnP_EPAPER73_V1_v111_front[[#This Row],[Column3]]/100</f>
        <v>70.2</v>
      </c>
      <c r="I111">
        <f>PnP_EPAPER73_V1_v111_front[[#This Row],[Column4]]/100</f>
        <v>90</v>
      </c>
      <c r="J111" t="s">
        <v>185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x14ac:dyDescent="0.35">
      <c r="A112" s="7" t="s">
        <v>158</v>
      </c>
      <c r="B112" s="7">
        <v>4960</v>
      </c>
      <c r="C112" s="7">
        <v>9950</v>
      </c>
      <c r="D112" s="7">
        <v>27000</v>
      </c>
      <c r="E112" s="7" t="s">
        <v>113</v>
      </c>
      <c r="F112" s="7" t="s">
        <v>111</v>
      </c>
      <c r="G112">
        <f>PnP_EPAPER73_V1_v111_front[[#This Row],[Column2]]/100</f>
        <v>49.6</v>
      </c>
      <c r="H112">
        <f>PnP_EPAPER73_V1_v111_front[[#This Row],[Column3]]/100</f>
        <v>99.5</v>
      </c>
      <c r="I112">
        <f>PnP_EPAPER73_V1_v111_front[[#This Row],[Column4]]/100</f>
        <v>270</v>
      </c>
      <c r="J112" t="s">
        <v>185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x14ac:dyDescent="0.35">
      <c r="A113" s="7" t="s">
        <v>159</v>
      </c>
      <c r="B113" s="7">
        <v>4950</v>
      </c>
      <c r="C113" s="7">
        <v>9090</v>
      </c>
      <c r="D113" s="7">
        <v>9000</v>
      </c>
      <c r="E113" s="7" t="s">
        <v>113</v>
      </c>
      <c r="F113" s="7" t="s">
        <v>111</v>
      </c>
      <c r="G113">
        <f>PnP_EPAPER73_V1_v111_front[[#This Row],[Column2]]/100</f>
        <v>49.5</v>
      </c>
      <c r="H113">
        <f>PnP_EPAPER73_V1_v111_front[[#This Row],[Column3]]/100</f>
        <v>90.9</v>
      </c>
      <c r="I113">
        <f>PnP_EPAPER73_V1_v111_front[[#This Row],[Column4]]/100</f>
        <v>90</v>
      </c>
      <c r="J113" t="s">
        <v>185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x14ac:dyDescent="0.35">
      <c r="A114" s="7" t="s">
        <v>160</v>
      </c>
      <c r="B114" s="8">
        <v>8360</v>
      </c>
      <c r="C114" s="9">
        <v>8250</v>
      </c>
      <c r="D114" s="9">
        <v>9000</v>
      </c>
      <c r="E114" s="7" t="s">
        <v>161</v>
      </c>
      <c r="F114" s="7" t="s">
        <v>162</v>
      </c>
      <c r="G114">
        <f>PnP_EPAPER73_V1_v111_front[[#This Row],[Column2]]/100</f>
        <v>83.6</v>
      </c>
      <c r="H114">
        <f>PnP_EPAPER73_V1_v111_front[[#This Row],[Column3]]/100</f>
        <v>82.5</v>
      </c>
      <c r="I114">
        <f>PnP_EPAPER73_V1_v111_front[[#This Row],[Column4]]/100</f>
        <v>90</v>
      </c>
      <c r="J114" t="s">
        <v>185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x14ac:dyDescent="0.35">
      <c r="A115" s="7" t="s">
        <v>163</v>
      </c>
      <c r="B115" s="7">
        <v>7250</v>
      </c>
      <c r="C115" s="7">
        <v>8250</v>
      </c>
      <c r="D115" s="7">
        <v>9000</v>
      </c>
      <c r="E115" s="7" t="s">
        <v>164</v>
      </c>
      <c r="F115" s="7" t="s">
        <v>165</v>
      </c>
      <c r="G115">
        <f>PnP_EPAPER73_V1_v111_front[[#This Row],[Column2]]/100</f>
        <v>72.5</v>
      </c>
      <c r="H115">
        <f>PnP_EPAPER73_V1_v111_front[[#This Row],[Column3]]/100</f>
        <v>82.5</v>
      </c>
      <c r="I115">
        <f>PnP_EPAPER73_V1_v111_front[[#This Row],[Column4]]/100</f>
        <v>90</v>
      </c>
      <c r="J115" t="s">
        <v>185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x14ac:dyDescent="0.35">
      <c r="A116" s="7" t="s">
        <v>166</v>
      </c>
      <c r="B116" s="7">
        <v>5830</v>
      </c>
      <c r="C116" s="7">
        <v>10260</v>
      </c>
      <c r="D116" s="7">
        <v>0</v>
      </c>
      <c r="E116" s="7" t="s">
        <v>167</v>
      </c>
      <c r="F116" s="7" t="s">
        <v>168</v>
      </c>
      <c r="G116">
        <f>PnP_EPAPER73_V1_v111_front[[#This Row],[Column2]]/100</f>
        <v>58.3</v>
      </c>
      <c r="H116">
        <f>PnP_EPAPER73_V1_v111_front[[#This Row],[Column3]]/100</f>
        <v>102.6</v>
      </c>
      <c r="I116">
        <f>PnP_EPAPER73_V1_v111_front[[#This Row],[Column4]]/100</f>
        <v>0</v>
      </c>
      <c r="J116" t="s">
        <v>185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x14ac:dyDescent="0.35">
      <c r="A117" s="7" t="s">
        <v>169</v>
      </c>
      <c r="B117" s="7">
        <v>2144</v>
      </c>
      <c r="C117" s="7">
        <v>10453</v>
      </c>
      <c r="D117" s="7">
        <v>0</v>
      </c>
      <c r="E117" s="7" t="s">
        <v>170</v>
      </c>
      <c r="F117" s="7" t="s">
        <v>171</v>
      </c>
      <c r="G117">
        <f>PnP_EPAPER73_V1_v111_front[[#This Row],[Column2]]/100</f>
        <v>21.44</v>
      </c>
      <c r="H117">
        <f>PnP_EPAPER73_V1_v111_front[[#This Row],[Column3]]/100</f>
        <v>104.53</v>
      </c>
      <c r="I117" s="2">
        <f>PnP_EPAPER73_V1_v111_front[[#This Row],[Column4]]/100</f>
        <v>0</v>
      </c>
      <c r="J117" t="s">
        <v>185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x14ac:dyDescent="0.35">
      <c r="A118" s="7" t="s">
        <v>172</v>
      </c>
      <c r="B118" s="7">
        <v>3340</v>
      </c>
      <c r="C118" s="7">
        <v>10020</v>
      </c>
      <c r="D118" s="7">
        <v>0</v>
      </c>
      <c r="E118" s="7" t="s">
        <v>173</v>
      </c>
      <c r="F118" s="7" t="s">
        <v>174</v>
      </c>
      <c r="G118">
        <f>PnP_EPAPER73_V1_v111_front[[#This Row],[Column2]]/100</f>
        <v>33.4</v>
      </c>
      <c r="H118">
        <f>PnP_EPAPER73_V1_v111_front[[#This Row],[Column3]]/100</f>
        <v>100.2</v>
      </c>
      <c r="I118" s="2">
        <f>PnP_EPAPER73_V1_v111_front[[#This Row],[Column4]]/100</f>
        <v>0</v>
      </c>
      <c r="J118" t="s">
        <v>185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x14ac:dyDescent="0.35">
      <c r="A119" s="7" t="s">
        <v>175</v>
      </c>
      <c r="B119" s="7">
        <v>4530</v>
      </c>
      <c r="C119" s="7">
        <v>9120</v>
      </c>
      <c r="D119" s="7">
        <v>18000</v>
      </c>
      <c r="E119" s="7" t="s">
        <v>176</v>
      </c>
      <c r="F119" s="7" t="s">
        <v>177</v>
      </c>
      <c r="G119">
        <f>PnP_EPAPER73_V1_v111_front[[#This Row],[Column2]]/100</f>
        <v>45.3</v>
      </c>
      <c r="H119">
        <f>PnP_EPAPER73_V1_v111_front[[#This Row],[Column3]]/100</f>
        <v>91.2</v>
      </c>
      <c r="I119" s="2">
        <f>PnP_EPAPER73_V1_v111_front[[#This Row],[Column4]]/100</f>
        <v>180</v>
      </c>
      <c r="J119" t="s">
        <v>185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x14ac:dyDescent="0.35">
      <c r="A120" s="7" t="s">
        <v>178</v>
      </c>
      <c r="B120" s="13">
        <v>11550</v>
      </c>
      <c r="C120" s="13">
        <v>2680</v>
      </c>
      <c r="D120" s="7">
        <v>27000</v>
      </c>
      <c r="E120" s="7" t="s">
        <v>179</v>
      </c>
      <c r="F120" s="7" t="s">
        <v>180</v>
      </c>
      <c r="G120">
        <f>PnP_EPAPER73_V1_v111_front[[#This Row],[Column2]]/100</f>
        <v>115.5</v>
      </c>
      <c r="H120">
        <f>PnP_EPAPER73_V1_v111_front[[#This Row],[Column3]]/100</f>
        <v>26.8</v>
      </c>
      <c r="I120">
        <f>PnP_EPAPER73_V1_v111_front[[#This Row],[Column4]]/100</f>
        <v>270</v>
      </c>
      <c r="J120" t="s">
        <v>185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22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128A2C-2E62-461D-ADF4-7507619DC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PnP_EPAPER73_V1 v111_front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</dc:creator>
  <cp:lastModifiedBy>Daniel B</cp:lastModifiedBy>
  <dcterms:created xsi:type="dcterms:W3CDTF">2025-04-01T13:02:24Z</dcterms:created>
  <dcterms:modified xsi:type="dcterms:W3CDTF">2026-05-26T12:36:47Z</dcterms:modified>
</cp:coreProperties>
</file>